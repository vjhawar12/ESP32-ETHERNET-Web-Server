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liminary BOM" sheetId="1" state="visible" r:id="rId3"/>
    <sheet name="Cost Summary" sheetId="2" state="visible" r:id="rId4"/>
    <sheet name="Reference BOM"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<sst xmlns="http://schemas.openxmlformats.org/spreadsheetml/2006/main" count="654" uniqueCount="389">
  <si>
    <t xml:space="preserve">Section</t>
  </si>
  <si>
    <t xml:space="preserve">Est. Qty</t>
  </si>
  <si>
    <t xml:space="preserve">Item</t>
  </si>
  <si>
    <t xml:space="preserve">Example / Value</t>
  </si>
  <si>
    <t xml:space="preserve">Notes</t>
  </si>
  <si>
    <t xml:space="preserve">Est. Unit Cost (USD)</t>
  </si>
  <si>
    <t xml:space="preserve">Est. Ext. Cost (USD)</t>
  </si>
  <si>
    <t xml:space="preserve">Suggested Source</t>
  </si>
  <si>
    <t xml:space="preserve">Candidate Part(s)</t>
  </si>
  <si>
    <t xml:space="preserve">Status / Action</t>
  </si>
  <si>
    <t xml:space="preserve">Power</t>
  </si>
  <si>
    <t xml:space="preserve">12 V input connector</t>
  </si>
  <si>
    <t xml:space="preserve">2-pin terminal/header</t>
  </si>
  <si>
    <t xml:space="preserve">Main board power input</t>
  </si>
  <si>
    <t xml:space="preserve">Digi-Key / Mouser / LCSC</t>
  </si>
  <si>
    <t xml:space="preserve">2-pin 3.5mm screw terminal or 1x2 header</t>
  </si>
  <si>
    <t xml:space="preserve">Choose connector style based on enclosure/wiring</t>
  </si>
  <si>
    <t xml:space="preserve">Resettable fuse</t>
  </si>
  <si>
    <t xml:space="preserve">Polyfuse/PTC</t>
  </si>
  <si>
    <t xml:space="preserve">Input overcurrent protection</t>
  </si>
  <si>
    <t xml:space="preserve">Digi-Key / Mouser</t>
  </si>
  <si>
    <t xml:space="preserve">MF-LSMF050/72X, MF-LSMF075/72X</t>
  </si>
  <si>
    <t xml:space="preserve">Pick hold/trip current after load budget</t>
  </si>
  <si>
    <t xml:space="preserve">TVS diode</t>
  </si>
  <si>
    <t xml:space="preserve">12 V TVS</t>
  </si>
  <si>
    <t xml:space="preserve">Input transient/surge protection</t>
  </si>
  <si>
    <t xml:space="preserve">3KDFN15A or equivalent</t>
  </si>
  <si>
    <t xml:space="preserve">Confirm standoff/clamp voltage for 12V rail</t>
  </si>
  <si>
    <t xml:space="preserve">PMOS reverse-polarity MOSFET</t>
  </si>
  <si>
    <t xml:space="preserve">P-channel MOSFET</t>
  </si>
  <si>
    <t xml:space="preserve">Protects board from reversed 12 V input</t>
  </si>
  <si>
    <t xml:space="preserve">DMP3098LSS or equivalent</t>
  </si>
  <si>
    <t xml:space="preserve">Confirm VDS, RDS(on), package/thermal</t>
  </si>
  <si>
    <t xml:space="preserve">12 V → 5 V buck regulator IC</t>
  </si>
  <si>
    <t xml:space="preserve">TPS62902</t>
  </si>
  <si>
    <t xml:space="preserve">Generates 5 V rail</t>
  </si>
  <si>
    <t xml:space="preserve">Digi-Key / Mouser / TI</t>
  </si>
  <si>
    <t xml:space="preserve">Confirm package/availability</t>
  </si>
  <si>
    <t xml:space="preserve">5 V → 3.3 V buck regulator IC</t>
  </si>
  <si>
    <t xml:space="preserve">TLV62569</t>
  </si>
  <si>
    <t xml:space="preserve">Generates 3.3 V rail</t>
  </si>
  <si>
    <t xml:space="preserve">Power inductors</t>
  </si>
  <si>
    <t xml:space="preserve">1 µH / 2.2 µH</t>
  </si>
  <si>
    <t xml:space="preserve">Buck regulator inductors</t>
  </si>
  <si>
    <t xml:space="preserve">TBD shielded power inductor</t>
  </si>
  <si>
    <t xml:space="preserve">Must lock saturation current before layout</t>
  </si>
  <si>
    <t xml:space="preserve">Buck regulator resistors</t>
  </si>
  <si>
    <t xml:space="preserve">Feedback/setpoint values</t>
  </si>
  <si>
    <t xml:space="preserve">Sets 5 V and 3.3 V outputs</t>
  </si>
  <si>
    <t xml:space="preserve">1% 0603/0805 resistors</t>
  </si>
  <si>
    <t xml:space="preserve">Verify exact values from regulator datasheets</t>
  </si>
  <si>
    <t xml:space="preserve">Buck regulator capacitors</t>
  </si>
  <si>
    <t xml:space="preserve">10 µF, 22 µF, 6.6 nF, etc.</t>
  </si>
  <si>
    <t xml:space="preserve">Input/output/soft-start/filter caps</t>
  </si>
  <si>
    <t xml:space="preserve">X7R ceramics, voltage rating TBD</t>
  </si>
  <si>
    <t xml:space="preserve">Check DC bias derating and voltage rating</t>
  </si>
  <si>
    <t xml:space="preserve">Rail indicator LEDs</t>
  </si>
  <si>
    <t xml:space="preserve">5 V LED, 3.3 V LED</t>
  </si>
  <si>
    <t xml:space="preserve">Visual power indicators</t>
  </si>
  <si>
    <t xml:space="preserve">Standard SMD LED</t>
  </si>
  <si>
    <t xml:space="preserve">Pick color/footprint</t>
  </si>
  <si>
    <t xml:space="preserve">LED current-limiting resistors</t>
  </si>
  <si>
    <t xml:space="preserve">TBD</t>
  </si>
  <si>
    <t xml:space="preserve">For power LEDs</t>
  </si>
  <si>
    <t xml:space="preserve">0603/0805 resistor</t>
  </si>
  <si>
    <t xml:space="preserve">Set LED current target</t>
  </si>
  <si>
    <t xml:space="preserve">ESP32 / MCU</t>
  </si>
  <si>
    <t xml:space="preserve">ESP32 module</t>
  </si>
  <si>
    <t xml:space="preserve">ESP32-WROOM-32E</t>
  </si>
  <si>
    <t xml:space="preserve">Main controller</t>
  </si>
  <si>
    <t xml:space="preserve">Digi-Key / Mouser / LCSC / Espressif</t>
  </si>
  <si>
    <t xml:space="preserve">Lock exact module variant</t>
  </si>
  <si>
    <t xml:space="preserve">USB-C receptacle</t>
  </si>
  <si>
    <t xml:space="preserve">USB 2.0 Type-C</t>
  </si>
  <si>
    <t xml:space="preserve">Programming/debug data connector</t>
  </si>
  <si>
    <t xml:space="preserve">USB_C_Receptacle_USB2.0_14P compatible</t>
  </si>
  <si>
    <t xml:space="preserve">Choose footprint and mechanical style</t>
  </si>
  <si>
    <t xml:space="preserve">USB-to-UART converter</t>
  </si>
  <si>
    <t xml:space="preserve">CH340C</t>
  </si>
  <si>
    <t xml:space="preserve">Serial programming/debug interface</t>
  </si>
  <si>
    <t xml:space="preserve">Digi-Key / LCSC</t>
  </si>
  <si>
    <t xml:space="preserve">Confirm driver support/package</t>
  </si>
  <si>
    <t xml:space="preserve">USB CC resistors</t>
  </si>
  <si>
    <t xml:space="preserve">5.1 kΩ</t>
  </si>
  <si>
    <t xml:space="preserve">USB-C device-mode pull-downs</t>
  </si>
  <si>
    <t xml:space="preserve">5.1k 1% 0603/0805</t>
  </si>
  <si>
    <t xml:space="preserve">Required for USB-C sink/device detection</t>
  </si>
  <si>
    <t xml:space="preserve">USB ESD protection diode</t>
  </si>
  <si>
    <t xml:space="preserve">Low-cap USB ESD device</t>
  </si>
  <si>
    <t xml:space="preserve">Protects USB D+/D−</t>
  </si>
  <si>
    <t xml:space="preserve">ESD122DMYR</t>
  </si>
  <si>
    <t xml:space="preserve">Confirm footprint/pinout</t>
  </si>
  <si>
    <t xml:space="preserve">JTAG/debug header</t>
  </si>
  <si>
    <t xml:space="preserve">1x7 header</t>
  </si>
  <si>
    <t xml:space="preserve">Debug/programming access</t>
  </si>
  <si>
    <t xml:space="preserve">1x7 2.54mm or compact SWD-style header</t>
  </si>
  <si>
    <t xml:space="preserve">Choose vertical/right-angle</t>
  </si>
  <si>
    <t xml:space="preserve">Pushbuttons</t>
  </si>
  <si>
    <t xml:space="preserve">EN/reset and BOOT</t>
  </si>
  <si>
    <t xml:space="preserve">Manual reset/boot control</t>
  </si>
  <si>
    <t xml:space="preserve">Generic tactile switch</t>
  </si>
  <si>
    <t xml:space="preserve">Pick footprint</t>
  </si>
  <si>
    <t xml:space="preserve">Boot/programming resistors</t>
  </si>
  <si>
    <t xml:space="preserve">10 kΩ, etc.</t>
  </si>
  <si>
    <t xml:space="preserve">Pull-ups/pull-downs and control resistors</t>
  </si>
  <si>
    <t xml:space="preserve">0603/0805 resistors</t>
  </si>
  <si>
    <t xml:space="preserve">Verify exact boot strap values</t>
  </si>
  <si>
    <t xml:space="preserve">Logic gate</t>
  </si>
  <si>
    <t xml:space="preserve">74AHC1G02 NOR</t>
  </si>
  <si>
    <t xml:space="preserve">Boot-control logic</t>
  </si>
  <si>
    <t xml:space="preserve">74AHC1G02</t>
  </si>
  <si>
    <t xml:space="preserve">Confirm logic family and voltage compatibility</t>
  </si>
  <si>
    <t xml:space="preserve">Inverter gates</t>
  </si>
  <si>
    <t xml:space="preserve">74LVC1GU04DRL</t>
  </si>
  <si>
    <t xml:space="preserve">USB-UART/boot-control support</t>
  </si>
  <si>
    <t xml:space="preserve">Confirm SOT-553 footprint</t>
  </si>
  <si>
    <t xml:space="preserve">Small NMOS transistors</t>
  </si>
  <si>
    <t xml:space="preserve">NMOS</t>
  </si>
  <si>
    <t xml:space="preserve">Boot/EN switching logic</t>
  </si>
  <si>
    <t xml:space="preserve">2N7002/BSS138-style or selected logic NMOS</t>
  </si>
  <si>
    <t xml:space="preserve">Choose package/threshold</t>
  </si>
  <si>
    <t xml:space="preserve">Local decoupling capacitors</t>
  </si>
  <si>
    <t xml:space="preserve">0.1 µF, 1 µF, 22 µF</t>
  </si>
  <si>
    <t xml:space="preserve">ESP32/local rail stability</t>
  </si>
  <si>
    <t xml:space="preserve">X7R ceramic capacitors</t>
  </si>
  <si>
    <t xml:space="preserve">Place close to module/IC power pins</t>
  </si>
  <si>
    <t xml:space="preserve">Ethernet</t>
  </si>
  <si>
    <t xml:space="preserve">Ethernet PHY</t>
  </si>
  <si>
    <t xml:space="preserve">LAN8720A</t>
  </si>
  <si>
    <t xml:space="preserve">RMII PHY for ESP32 native Ethernet</t>
  </si>
  <si>
    <t xml:space="preserve">Digi-Key / Mouser / Microchip</t>
  </si>
  <si>
    <t xml:space="preserve">QFN assembly risk; confirm footprint</t>
  </si>
  <si>
    <t xml:space="preserve">RJ45 MagJack</t>
  </si>
  <si>
    <t xml:space="preserve">Amphenol RJMG1BD3B8K1ANR</t>
  </si>
  <si>
    <t xml:space="preserve">RJ45 with integrated magnetics</t>
  </si>
  <si>
    <t xml:space="preserve">Digi-Key / Mouser / Amphenol</t>
  </si>
  <si>
    <t xml:space="preserve">RJMG1BD3B8K1ANR</t>
  </si>
  <si>
    <t xml:space="preserve">Confirm pinout and mechanical clearance</t>
  </si>
  <si>
    <t xml:space="preserve">50 MHz oscillator</t>
  </si>
  <si>
    <t xml:space="preserve">3.3 V CMOS oscillator</t>
  </si>
  <si>
    <t xml:space="preserve">RMII/PHY clock source</t>
  </si>
  <si>
    <t xml:space="preserve">DSC1004 or SG-7050 compatible</t>
  </si>
  <si>
    <t xml:space="preserve">Confirm output enable behavior</t>
  </si>
  <si>
    <t xml:space="preserve">Precision bias resistor</t>
  </si>
  <si>
    <t xml:space="preserve">12.1 kΩ, 1%</t>
  </si>
  <si>
    <t xml:space="preserve">LAN8720A RBIAS resistor</t>
  </si>
  <si>
    <t xml:space="preserve">12.1k 1% resistor</t>
  </si>
  <si>
    <t xml:space="preserve">Place close to PHY</t>
  </si>
  <si>
    <t xml:space="preserve">Ethernet LED resistors</t>
  </si>
  <si>
    <t xml:space="preserve">120 Ω</t>
  </si>
  <si>
    <t xml:space="preserve">RJ45/PHY LED current limiting</t>
  </si>
  <si>
    <t xml:space="preserve">120Ω 0603/0805</t>
  </si>
  <si>
    <t xml:space="preserve">Verify LED current</t>
  </si>
  <si>
    <t xml:space="preserve">PHY reset/strap resistors</t>
  </si>
  <si>
    <t xml:space="preserve">10 kΩ, 100 kΩ</t>
  </si>
  <si>
    <t xml:space="preserve">Reset pull-up and oscillator/strap support</t>
  </si>
  <si>
    <t xml:space="preserve">Verify strap defaults</t>
  </si>
  <si>
    <t xml:space="preserve">PHY reset capacitor</t>
  </si>
  <si>
    <t xml:space="preserve">1 µF</t>
  </si>
  <si>
    <t xml:space="preserve">Power-on reset delay/filter</t>
  </si>
  <si>
    <t xml:space="preserve">1µF X7R ceramic</t>
  </si>
  <si>
    <t xml:space="preserve">Confirm reset timing</t>
  </si>
  <si>
    <t xml:space="preserve">PHY reset pushbutton</t>
  </si>
  <si>
    <t xml:space="preserve">Tactile switch</t>
  </si>
  <si>
    <t xml:space="preserve">Manual PHY reset</t>
  </si>
  <si>
    <t xml:space="preserve">Optional but useful for bring-up</t>
  </si>
  <si>
    <t xml:space="preserve">PHY/oscillator decoupling capacitors</t>
  </si>
  <si>
    <t xml:space="preserve">0.1 µF, 1 µF</t>
  </si>
  <si>
    <t xml:space="preserve">LAN8720A and oscillator supply decoupling</t>
  </si>
  <si>
    <t xml:space="preserve">Place close to pins</t>
  </si>
  <si>
    <t xml:space="preserve">Sensors</t>
  </si>
  <si>
    <t xml:space="preserve">I2C GPIO expander</t>
  </si>
  <si>
    <t xml:space="preserve">PCF8575DBR</t>
  </si>
  <si>
    <t xml:space="preserve">Adds digital sensor inputs/outputs</t>
  </si>
  <si>
    <t xml:space="preserve">Digi-Key / Mouser / TI / LCSC</t>
  </si>
  <si>
    <t xml:space="preserve">Confirm address strap choice</t>
  </si>
  <si>
    <t xml:space="preserve">I2C pull-up resistors</t>
  </si>
  <si>
    <t xml:space="preserve">4.7k / 4.9k</t>
  </si>
  <si>
    <t xml:space="preserve">SDA/SCL pull-ups to 3.3 V</t>
  </si>
  <si>
    <t xml:space="preserve">4.7k or 4.99k 0603/0805</t>
  </si>
  <si>
    <t xml:space="preserve">Use one pair per I2C bus</t>
  </si>
  <si>
    <t xml:space="preserve">MQ135 module connector</t>
  </si>
  <si>
    <t xml:space="preserve">1x4 header</t>
  </si>
  <si>
    <t xml:space="preserve">VCC, GND, AO, DO</t>
  </si>
  <si>
    <t xml:space="preserve">1x4 2.54mm header/JST</t>
  </si>
  <si>
    <t xml:space="preserve">Match actual module pin order</t>
  </si>
  <si>
    <t xml:space="preserve">AHT20 connector</t>
  </si>
  <si>
    <t xml:space="preserve">I2C temperature/humidity sensor</t>
  </si>
  <si>
    <t xml:space="preserve">HC-SR505 connector</t>
  </si>
  <si>
    <t xml:space="preserve">1x3 header</t>
  </si>
  <si>
    <t xml:space="preserve">PIR motion sensor</t>
  </si>
  <si>
    <t xml:space="preserve">1x3 2.54mm header/JST</t>
  </si>
  <si>
    <t xml:space="preserve">Consider divider if DO is 5V</t>
  </si>
  <si>
    <t xml:space="preserve">MQ135 analog divider resistors</t>
  </si>
  <si>
    <t xml:space="preserve">2.4 kΩ, 8 kΩ</t>
  </si>
  <si>
    <t xml:space="preserve">Scales AO from ~4.2V max to ~3.3V max</t>
  </si>
  <si>
    <t xml:space="preserve">2.4k + 8k 1%</t>
  </si>
  <si>
    <t xml:space="preserve">Keep near ADC/filter input</t>
  </si>
  <si>
    <t xml:space="preserve">MQ135 analog filter resistors</t>
  </si>
  <si>
    <t xml:space="preserve">1 kΩ, 28.4 kΩ</t>
  </si>
  <si>
    <t xml:space="preserve">Two-stage RC low-pass filter</t>
  </si>
  <si>
    <t xml:space="preserve">1k + 28.4k 1%</t>
  </si>
  <si>
    <t xml:space="preserve">Can use nearest standard values</t>
  </si>
  <si>
    <t xml:space="preserve">MQ135 analog filter capacitors</t>
  </si>
  <si>
    <t xml:space="preserve">5.6 µF, 0.56 µF</t>
  </si>
  <si>
    <t xml:space="preserve">X7R ceramic caps</t>
  </si>
  <si>
    <t xml:space="preserve">Check DC bias derating</t>
  </si>
  <si>
    <t xml:space="preserve">MQ135 DO divider resistors</t>
  </si>
  <si>
    <t xml:space="preserve">12 kΩ, 20 kΩ</t>
  </si>
  <si>
    <t xml:space="preserve">Scales 5V DO to 3.3V-safe input</t>
  </si>
  <si>
    <t xml:space="preserve">12k + 20k 1%</t>
  </si>
  <si>
    <t xml:space="preserve">Required if DO is push-pull 5V</t>
  </si>
  <si>
    <t xml:space="preserve">GPIO expander decoupling capacitor</t>
  </si>
  <si>
    <t xml:space="preserve">0.1 µF</t>
  </si>
  <si>
    <t xml:space="preserve">Local decoupling for PCF8575</t>
  </si>
  <si>
    <t xml:space="preserve">0.1µF X7R ceramic</t>
  </si>
  <si>
    <t xml:space="preserve">Place close to VCC/GND pins</t>
  </si>
  <si>
    <t xml:space="preserve">Off-board modules</t>
  </si>
  <si>
    <t xml:space="preserve">MQ135 sensor module</t>
  </si>
  <si>
    <t xml:space="preserve">5V module with AO/DO</t>
  </si>
  <si>
    <t xml:space="preserve">Not necessarily assembled on PCB; plugs into connector</t>
  </si>
  <si>
    <t xml:space="preserve">Amazon / AliExpress / local supplier</t>
  </si>
  <si>
    <t xml:space="preserve">MQ135 breakout module</t>
  </si>
  <si>
    <t xml:space="preserve">Prototype/test item</t>
  </si>
  <si>
    <t xml:space="preserve">AHT20 module</t>
  </si>
  <si>
    <t xml:space="preserve">I2C temp/humidity</t>
  </si>
  <si>
    <t xml:space="preserve">AHT20 breakout module</t>
  </si>
  <si>
    <t xml:space="preserve">HC-SR505 module</t>
  </si>
  <si>
    <t xml:space="preserve">PCB / Assembly</t>
  </si>
  <si>
    <t xml:space="preserve">Bare PCB prototype</t>
  </si>
  <si>
    <t xml:space="preserve">2-layer or 4-layer TBD</t>
  </si>
  <si>
    <t xml:space="preserve">Single-board bring-up prototype</t>
  </si>
  <si>
    <t xml:space="preserve">JLCPCB / PCBWay / local fab</t>
  </si>
  <si>
    <t xml:space="preserve">Custom Rev 1 PCB</t>
  </si>
  <si>
    <t xml:space="preserve">Estimate only; depends on stackup/shipping</t>
  </si>
  <si>
    <t xml:space="preserve">Total</t>
  </si>
  <si>
    <t xml:space="preserve">Estimated Subtotal (USD)</t>
  </si>
  <si>
    <t xml:space="preserve">Costs are rough prototype-level estimates only. They are not quoted prices and do not include tax, shipping, assembly labor, or quantity discounts. Final procurement BOM should be generated after footprints, package choices, and supplier availability are locked.</t>
  </si>
  <si>
    <t xml:space="preserve">Estimated Prototype Subtotal</t>
  </si>
  <si>
    <t xml:space="preserve">Ref</t>
  </si>
  <si>
    <t xml:space="preserve">Sheet</t>
  </si>
  <si>
    <t xml:space="preserve">Value</t>
  </si>
  <si>
    <t xml:space="preserve">Footprint</t>
  </si>
  <si>
    <t xml:space="preserve">Description</t>
  </si>
  <si>
    <t xml:space="preserve">C1</t>
  </si>
  <si>
    <t xml:space="preserve">10uF</t>
  </si>
  <si>
    <t xml:space="preserve">Unpolarized capacitor, small symbol</t>
  </si>
  <si>
    <t xml:space="preserve">C2</t>
  </si>
  <si>
    <t xml:space="preserve">22 uF</t>
  </si>
  <si>
    <t xml:space="preserve">C3</t>
  </si>
  <si>
    <t xml:space="preserve">6.6 nF</t>
  </si>
  <si>
    <t xml:space="preserve">C4</t>
  </si>
  <si>
    <t xml:space="preserve">10 uF</t>
  </si>
  <si>
    <t xml:space="preserve">C5</t>
  </si>
  <si>
    <t xml:space="preserve">C6</t>
  </si>
  <si>
    <t xml:space="preserve">10 pF</t>
  </si>
  <si>
    <t xml:space="preserve">D1</t>
  </si>
  <si>
    <t xml:space="preserve">TVS Diode</t>
  </si>
  <si>
    <t xml:space="preserve">Diode_SMD:Nexperia_DSN1608-2_1.6x0.8mm</t>
  </si>
  <si>
    <t xml:space="preserve">12V, 1900W TVS unidirectional diode, DSN1608-2</t>
  </si>
  <si>
    <t xml:space="preserve">D3</t>
  </si>
  <si>
    <t xml:space="preserve">LED</t>
  </si>
  <si>
    <t xml:space="preserve">Light emitting diode</t>
  </si>
  <si>
    <t xml:space="preserve">D4</t>
  </si>
  <si>
    <t xml:space="preserve">F1</t>
  </si>
  <si>
    <t xml:space="preserve">Polyfuse</t>
  </si>
  <si>
    <t xml:space="preserve">Resettable fuse, polymeric positive temperature coefficient</t>
  </si>
  <si>
    <t xml:space="preserve">F2</t>
  </si>
  <si>
    <t xml:space="preserve">J1</t>
  </si>
  <si>
    <t xml:space="preserve">Conn_01x02_Socket</t>
  </si>
  <si>
    <t xml:space="preserve">Generic connector, single row, 01x02, script generated</t>
  </si>
  <si>
    <t xml:space="preserve">L1</t>
  </si>
  <si>
    <t xml:space="preserve">1 uH</t>
  </si>
  <si>
    <t xml:space="preserve">Inductor, small symbol</t>
  </si>
  <si>
    <t xml:space="preserve">L2</t>
  </si>
  <si>
    <t xml:space="preserve">2.2 uH</t>
  </si>
  <si>
    <t xml:space="preserve">Q1</t>
  </si>
  <si>
    <t xml:space="preserve">PMOS</t>
  </si>
  <si>
    <t xml:space="preserve">P-MOSFET transistor, drain/source/gate</t>
  </si>
  <si>
    <t xml:space="preserve">R1</t>
  </si>
  <si>
    <t xml:space="preserve">182 Kohm</t>
  </si>
  <si>
    <t xml:space="preserve">Resistor, small US symbol</t>
  </si>
  <si>
    <t xml:space="preserve">R2</t>
  </si>
  <si>
    <t xml:space="preserve">24.9 Kohm</t>
  </si>
  <si>
    <t xml:space="preserve">R3</t>
  </si>
  <si>
    <t xml:space="preserve">16.9 Kohm</t>
  </si>
  <si>
    <t xml:space="preserve">R4</t>
  </si>
  <si>
    <t xml:space="preserve">10 Kohm</t>
  </si>
  <si>
    <t xml:space="preserve">R5</t>
  </si>
  <si>
    <t xml:space="preserve">R6</t>
  </si>
  <si>
    <t xml:space="preserve">90 Kohm</t>
  </si>
  <si>
    <t xml:space="preserve">R7</t>
  </si>
  <si>
    <t xml:space="preserve">20 Kohm</t>
  </si>
  <si>
    <t xml:space="preserve">R8</t>
  </si>
  <si>
    <t xml:space="preserve">100 Kohm</t>
  </si>
  <si>
    <t xml:space="preserve">U1</t>
  </si>
  <si>
    <t xml:space="preserve">~</t>
  </si>
  <si>
    <t xml:space="preserve">U2</t>
  </si>
  <si>
    <t xml:space="preserve">C14</t>
  </si>
  <si>
    <t xml:space="preserve">0.1 uF</t>
  </si>
  <si>
    <t xml:space="preserve">C15</t>
  </si>
  <si>
    <t xml:space="preserve">C16</t>
  </si>
  <si>
    <t xml:space="preserve">C17</t>
  </si>
  <si>
    <t xml:space="preserve">1 uF</t>
  </si>
  <si>
    <t xml:space="preserve">C18</t>
  </si>
  <si>
    <t xml:space="preserve">C19</t>
  </si>
  <si>
    <t xml:space="preserve">DSC1004</t>
  </si>
  <si>
    <t xml:space="preserve">Oscillator:Oscillator_SMD_SeikoEpson_SG8002CA-4Pin_7.0x5.0mm</t>
  </si>
  <si>
    <t xml:space="preserve">CMOS Clock Oscillator 2.5 to 50 MHz</t>
  </si>
  <si>
    <t xml:space="preserve">J4</t>
  </si>
  <si>
    <t xml:space="preserve">RJ45_Amphenol_RJMG1BD3B8K1ANR</t>
  </si>
  <si>
    <t xml:space="preserve">Connector_RJ:RJ45_Amphenol_RJMG1BD3B8K1ANR</t>
  </si>
  <si>
    <t xml:space="preserve">1 Port RJ45 Magjack Connector Through Hole 10/100 Base-T, AutoMDIX</t>
  </si>
  <si>
    <t xml:space="preserve">R13</t>
  </si>
  <si>
    <t xml:space="preserve">100 Kohms</t>
  </si>
  <si>
    <t xml:space="preserve">R14</t>
  </si>
  <si>
    <t xml:space="preserve">12.1 Kohms 1% tol</t>
  </si>
  <si>
    <t xml:space="preserve">R15</t>
  </si>
  <si>
    <t xml:space="preserve">120 ohms</t>
  </si>
  <si>
    <t xml:space="preserve">R16</t>
  </si>
  <si>
    <t xml:space="preserve">R17</t>
  </si>
  <si>
    <t xml:space="preserve">10 Kohms</t>
  </si>
  <si>
    <t xml:space="preserve">R18</t>
  </si>
  <si>
    <t xml:space="preserve">SW3</t>
  </si>
  <si>
    <t xml:space="preserve">SW_Push</t>
  </si>
  <si>
    <t xml:space="preserve">Push button switch, generic, two pins</t>
  </si>
  <si>
    <t xml:space="preserve">U7</t>
  </si>
  <si>
    <t xml:space="preserve">Package_DFN_QFN:VQFN-24-1EP_4x4mm_P0.5mm_EP2.5x2.5mm_ThermalVias</t>
  </si>
  <si>
    <t xml:space="preserve">LAN8720 Ethernet PHY with RMII interface, QFN-24</t>
  </si>
  <si>
    <t xml:space="preserve">BOOT_CTRL1</t>
  </si>
  <si>
    <t xml:space="preserve">ESP32</t>
  </si>
  <si>
    <t xml:space="preserve">N-MOSFET transistor, drain/source/gate</t>
  </si>
  <si>
    <t xml:space="preserve">C7</t>
  </si>
  <si>
    <t xml:space="preserve">C8</t>
  </si>
  <si>
    <t xml:space="preserve">C9</t>
  </si>
  <si>
    <t xml:space="preserve">C10</t>
  </si>
  <si>
    <t xml:space="preserve">C11</t>
  </si>
  <si>
    <t xml:space="preserve">C12</t>
  </si>
  <si>
    <t xml:space="preserve">C13</t>
  </si>
  <si>
    <t xml:space="preserve">D5</t>
  </si>
  <si>
    <t xml:space="preserve">J2</t>
  </si>
  <si>
    <t xml:space="preserve">JTAG</t>
  </si>
  <si>
    <t xml:space="preserve">Generic connector, single row, 01x07, script generated</t>
  </si>
  <si>
    <t xml:space="preserve">J3</t>
  </si>
  <si>
    <t xml:space="preserve">USB_C_Receptacle_USB2.0_14P</t>
  </si>
  <si>
    <t xml:space="preserve">USB 2.0-only 14P Type-C Receptacle connector</t>
  </si>
  <si>
    <t xml:space="preserve">NOR1</t>
  </si>
  <si>
    <t xml:space="preserve">Single NOR Gate, Low-Voltage CMOS</t>
  </si>
  <si>
    <t xml:space="preserve">Q3</t>
  </si>
  <si>
    <t xml:space="preserve">R9</t>
  </si>
  <si>
    <t xml:space="preserve">R10</t>
  </si>
  <si>
    <t xml:space="preserve">5.1 Kohm</t>
  </si>
  <si>
    <t xml:space="preserve">R11</t>
  </si>
  <si>
    <t xml:space="preserve">R12</t>
  </si>
  <si>
    <t xml:space="preserve">R19</t>
  </si>
  <si>
    <t xml:space="preserve">4.9K</t>
  </si>
  <si>
    <t xml:space="preserve">R20</t>
  </si>
  <si>
    <t xml:space="preserve">R22</t>
  </si>
  <si>
    <t xml:space="preserve">2.4 Kohm</t>
  </si>
  <si>
    <t xml:space="preserve">R23</t>
  </si>
  <si>
    <t xml:space="preserve">8 Kohm</t>
  </si>
  <si>
    <t xml:space="preserve">SW1</t>
  </si>
  <si>
    <t xml:space="preserve">NO1</t>
  </si>
  <si>
    <t xml:space="preserve">SW2</t>
  </si>
  <si>
    <t xml:space="preserve">TVS_DIODE_ARRAY1</t>
  </si>
  <si>
    <t xml:space="preserve">ESD122DMYR:DIO_ESD122DMYR</t>
  </si>
  <si>
    <t xml:space="preserve">U3</t>
  </si>
  <si>
    <t xml:space="preserve">Package_SO:SOIC-16_3.9x9.9mm_P1.27mm</t>
  </si>
  <si>
    <t xml:space="preserve">USB serial converter, crystal-less, UART, SOIC-16</t>
  </si>
  <si>
    <t xml:space="preserve">U4</t>
  </si>
  <si>
    <t xml:space="preserve">RF_Module:ESP32-WROOM-32D</t>
  </si>
  <si>
    <t xml:space="preserve">RF Module, ESP32-D0WD-V3 SoC, without PSRAM, Wi-Fi 802.11b/g/n, Bluetooth, BLE, 32-bit, 2.7-3.6V, onboard antenna, SMD</t>
  </si>
  <si>
    <t xml:space="preserve">U5</t>
  </si>
  <si>
    <t xml:space="preserve">Package_TO_SOT_SMD:SOT-553</t>
  </si>
  <si>
    <t xml:space="preserve">Single Inverter Gate, SOT-553</t>
  </si>
  <si>
    <t xml:space="preserve">U6</t>
  </si>
  <si>
    <t xml:space="preserve">GPIO_EXPANDER1</t>
  </si>
  <si>
    <t xml:space="preserve">Package_SO:SSOP-24_5.3x8.2mm_P0.65mm</t>
  </si>
  <si>
    <t xml:space="preserve">16 Bits Port/Expander to I2C Bus, SSOP-24</t>
  </si>
  <si>
    <t xml:space="preserve">J5</t>
  </si>
  <si>
    <t xml:space="preserve">MQ135_conn</t>
  </si>
  <si>
    <t xml:space="preserve">Generic connector, single row, 01x04, script generated</t>
  </si>
  <si>
    <t xml:space="preserve">J6</t>
  </si>
  <si>
    <t xml:space="preserve">AHT20_conn</t>
  </si>
  <si>
    <t xml:space="preserve">J7</t>
  </si>
  <si>
    <t xml:space="preserve">HC-SR505_conn</t>
  </si>
  <si>
    <t xml:space="preserve">Generic connector, single row, 01x03, script generated</t>
  </si>
  <si>
    <t xml:space="preserve">R21</t>
  </si>
  <si>
    <t xml:space="preserve">4.9 Kohms</t>
  </si>
</sst>
</file>

<file path=xl/styles.xml><?xml version="1.0" encoding="utf-8"?>
<styleSheet xmlns="http://schemas.openxmlformats.org/spreadsheetml/2006/main">
  <numFmts count="3">
    <numFmt numFmtId="164" formatCode="General"/>
    <numFmt numFmtId="165" formatCode="0"/>
    <numFmt numFmtId="166" formatCode="\$0.00"/>
  </numFmts>
  <fonts count="7">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
      <b val="true"/>
      <sz val="11"/>
      <color rgb="FF92400E"/>
      <name val="Calibri"/>
      <family val="0"/>
      <charset val="1"/>
    </font>
  </fonts>
  <fills count="6">
    <fill>
      <patternFill patternType="none"/>
    </fill>
    <fill>
      <patternFill patternType="gray125"/>
    </fill>
    <fill>
      <patternFill patternType="solid">
        <fgColor rgb="FF0F766E"/>
        <bgColor rgb="FF008080"/>
      </patternFill>
    </fill>
    <fill>
      <patternFill patternType="solid">
        <fgColor rgb="FF1E3A8A"/>
        <bgColor rgb="FF003366"/>
      </patternFill>
    </fill>
    <fill>
      <patternFill patternType="solid">
        <fgColor rgb="FFFEF3C7"/>
        <bgColor rgb="FFFFFF99"/>
      </patternFill>
    </fill>
    <fill>
      <patternFill patternType="solid">
        <fgColor rgb="FF334155"/>
        <bgColor rgb="FF1E3A8A"/>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5" fontId="5" fillId="2" borderId="0" xfId="20" applyFont="true" applyBorder="true" applyAlignment="true" applyProtection="false">
      <alignment horizontal="center" vertical="center" textRotation="0" wrapText="true" indent="0" shrinkToFit="false"/>
      <protection locked="true" hidden="false"/>
    </xf>
    <xf numFmtId="166" fontId="5"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5" fillId="3" borderId="0" xfId="20" applyFont="true" applyBorder="true" applyAlignment="true" applyProtection="false">
      <alignment horizontal="center" vertical="bottom" textRotation="0" wrapText="false" indent="0" shrinkToFit="false"/>
      <protection locked="true" hidden="false"/>
    </xf>
    <xf numFmtId="166" fontId="5" fillId="3" borderId="0" xfId="20" applyFont="true" applyBorder="true" applyAlignment="true" applyProtection="false">
      <alignment horizontal="center" vertical="bottom" textRotation="0" wrapText="false" indent="0" shrinkToFit="false"/>
      <protection locked="true" hidden="false"/>
    </xf>
    <xf numFmtId="164" fontId="5" fillId="2"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4" borderId="0" xfId="20" applyFont="true" applyBorder="true" applyAlignment="false" applyProtection="false">
      <alignment horizontal="general" vertical="bottom" textRotation="0" wrapText="false" indent="0" shrinkToFit="false"/>
      <protection locked="true" hidden="false"/>
    </xf>
    <xf numFmtId="164" fontId="5" fillId="5" borderId="0" xfId="2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
      <fill>
        <patternFill patternType="solid">
          <fgColor rgb="FF33415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EF3C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993366"/>
      <rgbColor rgb="FF1E3A8A"/>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PreliminaryBOMTable" displayName="PreliminaryBOMTable" ref="A1:J47" headerRowCount="1" totalsRowCount="0" totalsRowShown="0">
  <tableColumns count="10">
    <tableColumn id="1" name="Section"/>
    <tableColumn id="2" name="Est. Qty"/>
    <tableColumn id="3" name="Item"/>
    <tableColumn id="4" name="Example / Value"/>
    <tableColumn id="5" name="Notes"/>
    <tableColumn id="6" name="Est. Unit Cost (USD)"/>
    <tableColumn id="7" name="Est. Ext. Cost (USD)"/>
    <tableColumn id="8" name="Suggested Source"/>
    <tableColumn id="9" name="Candidate Part(s)"/>
    <tableColumn id="10" name="Status / Action"/>
  </tableColumns>
</table>
</file>

<file path=xl/tables/table2.xml><?xml version="1.0" encoding="utf-8"?>
<table xmlns="http://schemas.openxmlformats.org/spreadsheetml/2006/main" id="2" name="ReferenceBOMTable" displayName="ReferenceBOMTable" ref="A1:E75" headerRowCount="1" totalsRowCount="0" totalsRowShown="0">
  <tableColumns count="5">
    <tableColumn id="1" name="Ref"/>
    <tableColumn id="2" name="Sheet"/>
    <tableColumn id="3" name="Value"/>
    <tableColumn id="4" name="Footprint"/>
    <tableColumn id="5" name="Description"/>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true" showOutlineSymbols="true" defaultGridColor="true" view="normal" topLeftCell="D25" colorId="64" zoomScale="100" zoomScaleNormal="100" zoomScalePageLayoutView="100" workbookViewId="0">
      <selection pane="topLeft" activeCell="D49" activeCellId="0" sqref="D49"/>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28"/>
    <col collapsed="false" customWidth="true" hidden="false" outlineLevel="0" max="4" min="4" style="0" width="24"/>
    <col collapsed="false" customWidth="true" hidden="false" outlineLevel="0" max="5" min="5" style="0" width="36"/>
    <col collapsed="false" customWidth="true" hidden="false" outlineLevel="0" max="7" min="6" style="0" width="16"/>
    <col collapsed="false" customWidth="true" hidden="false" outlineLevel="0" max="8" min="8" style="0" width="24"/>
    <col collapsed="false" customWidth="true" hidden="false" outlineLevel="0" max="10" min="9" style="0" width="34"/>
  </cols>
  <sheetData>
    <row r="1" customFormat="false" ht="23.85" hidden="false" customHeight="false" outlineLevel="0" collapsed="false">
      <c r="A1" s="1" t="s">
        <v>0</v>
      </c>
      <c r="B1" s="2" t="s">
        <v>1</v>
      </c>
      <c r="C1" s="1" t="s">
        <v>2</v>
      </c>
      <c r="D1" s="1" t="s">
        <v>3</v>
      </c>
      <c r="E1" s="1" t="s">
        <v>4</v>
      </c>
      <c r="F1" s="3" t="s">
        <v>5</v>
      </c>
      <c r="G1" s="3" t="s">
        <v>6</v>
      </c>
      <c r="H1" s="1" t="s">
        <v>7</v>
      </c>
      <c r="I1" s="1" t="s">
        <v>8</v>
      </c>
      <c r="J1" s="1" t="s">
        <v>9</v>
      </c>
    </row>
    <row r="2" customFormat="false" ht="15" hidden="false" customHeight="false" outlineLevel="0" collapsed="false">
      <c r="A2" s="4" t="s">
        <v>10</v>
      </c>
      <c r="B2" s="4" t="n">
        <v>1</v>
      </c>
      <c r="C2" s="4" t="s">
        <v>11</v>
      </c>
      <c r="D2" s="4" t="s">
        <v>12</v>
      </c>
      <c r="E2" s="4" t="s">
        <v>13</v>
      </c>
      <c r="F2" s="4" t="n">
        <v>0.25</v>
      </c>
      <c r="G2" s="4" t="n">
        <f aca="false">B2*F2</f>
        <v>0.25</v>
      </c>
      <c r="H2" s="4" t="s">
        <v>14</v>
      </c>
      <c r="I2" s="4" t="s">
        <v>15</v>
      </c>
      <c r="J2" s="4" t="s">
        <v>16</v>
      </c>
    </row>
    <row r="3" customFormat="false" ht="15" hidden="false" customHeight="false" outlineLevel="0" collapsed="false">
      <c r="A3" s="4" t="s">
        <v>10</v>
      </c>
      <c r="B3" s="4" t="n">
        <v>2</v>
      </c>
      <c r="C3" s="4" t="s">
        <v>17</v>
      </c>
      <c r="D3" s="4" t="s">
        <v>18</v>
      </c>
      <c r="E3" s="4" t="s">
        <v>19</v>
      </c>
      <c r="F3" s="4" t="n">
        <v>0.35</v>
      </c>
      <c r="G3" s="4" t="n">
        <f aca="false">B3*F3</f>
        <v>0.7</v>
      </c>
      <c r="H3" s="4" t="s">
        <v>20</v>
      </c>
      <c r="I3" s="4" t="s">
        <v>21</v>
      </c>
      <c r="J3" s="4" t="s">
        <v>22</v>
      </c>
    </row>
    <row r="4" customFormat="false" ht="15" hidden="false" customHeight="false" outlineLevel="0" collapsed="false">
      <c r="A4" s="4" t="s">
        <v>10</v>
      </c>
      <c r="B4" s="4" t="n">
        <v>1</v>
      </c>
      <c r="C4" s="4" t="s">
        <v>23</v>
      </c>
      <c r="D4" s="4" t="s">
        <v>24</v>
      </c>
      <c r="E4" s="4" t="s">
        <v>25</v>
      </c>
      <c r="F4" s="4" t="n">
        <v>0.3</v>
      </c>
      <c r="G4" s="4" t="n">
        <f aca="false">B4*F4</f>
        <v>0.3</v>
      </c>
      <c r="H4" s="4" t="s">
        <v>14</v>
      </c>
      <c r="I4" s="4" t="s">
        <v>26</v>
      </c>
      <c r="J4" s="4" t="s">
        <v>27</v>
      </c>
    </row>
    <row r="5" customFormat="false" ht="15" hidden="false" customHeight="false" outlineLevel="0" collapsed="false">
      <c r="A5" s="4" t="s">
        <v>10</v>
      </c>
      <c r="B5" s="4" t="n">
        <v>1</v>
      </c>
      <c r="C5" s="4" t="s">
        <v>28</v>
      </c>
      <c r="D5" s="4" t="s">
        <v>29</v>
      </c>
      <c r="E5" s="4" t="s">
        <v>30</v>
      </c>
      <c r="F5" s="4" t="n">
        <v>0.45</v>
      </c>
      <c r="G5" s="4" t="n">
        <f aca="false">B5*F5</f>
        <v>0.45</v>
      </c>
      <c r="H5" s="4" t="s">
        <v>20</v>
      </c>
      <c r="I5" s="4" t="s">
        <v>31</v>
      </c>
      <c r="J5" s="4" t="s">
        <v>32</v>
      </c>
    </row>
    <row r="6" customFormat="false" ht="15" hidden="false" customHeight="false" outlineLevel="0" collapsed="false">
      <c r="A6" s="4" t="s">
        <v>10</v>
      </c>
      <c r="B6" s="4" t="n">
        <v>1</v>
      </c>
      <c r="C6" s="4" t="s">
        <v>33</v>
      </c>
      <c r="D6" s="4" t="s">
        <v>34</v>
      </c>
      <c r="E6" s="4" t="s">
        <v>35</v>
      </c>
      <c r="F6" s="4" t="n">
        <v>1.1</v>
      </c>
      <c r="G6" s="4" t="n">
        <f aca="false">B6*F6</f>
        <v>1.1</v>
      </c>
      <c r="H6" s="4" t="s">
        <v>36</v>
      </c>
      <c r="I6" s="4" t="s">
        <v>34</v>
      </c>
      <c r="J6" s="4" t="s">
        <v>37</v>
      </c>
    </row>
    <row r="7" customFormat="false" ht="15" hidden="false" customHeight="false" outlineLevel="0" collapsed="false">
      <c r="A7" s="4" t="s">
        <v>10</v>
      </c>
      <c r="B7" s="4" t="n">
        <v>1</v>
      </c>
      <c r="C7" s="4" t="s">
        <v>38</v>
      </c>
      <c r="D7" s="4" t="s">
        <v>39</v>
      </c>
      <c r="E7" s="4" t="s">
        <v>40</v>
      </c>
      <c r="F7" s="4" t="n">
        <v>0.6</v>
      </c>
      <c r="G7" s="4" t="n">
        <f aca="false">B7*F7</f>
        <v>0.6</v>
      </c>
      <c r="H7" s="4" t="s">
        <v>36</v>
      </c>
      <c r="I7" s="4" t="s">
        <v>39</v>
      </c>
      <c r="J7" s="4" t="s">
        <v>37</v>
      </c>
    </row>
    <row r="8" customFormat="false" ht="15" hidden="false" customHeight="false" outlineLevel="0" collapsed="false">
      <c r="A8" s="4" t="s">
        <v>10</v>
      </c>
      <c r="B8" s="4" t="n">
        <v>2</v>
      </c>
      <c r="C8" s="4" t="s">
        <v>41</v>
      </c>
      <c r="D8" s="4" t="s">
        <v>42</v>
      </c>
      <c r="E8" s="4" t="s">
        <v>43</v>
      </c>
      <c r="F8" s="4" t="n">
        <v>0.35</v>
      </c>
      <c r="G8" s="4" t="n">
        <f aca="false">B8*F8</f>
        <v>0.7</v>
      </c>
      <c r="H8" s="4" t="s">
        <v>14</v>
      </c>
      <c r="I8" s="4" t="s">
        <v>44</v>
      </c>
      <c r="J8" s="4" t="s">
        <v>45</v>
      </c>
    </row>
    <row r="9" customFormat="false" ht="15" hidden="false" customHeight="false" outlineLevel="0" collapsed="false">
      <c r="A9" s="4" t="s">
        <v>10</v>
      </c>
      <c r="B9" s="4" t="n">
        <v>8</v>
      </c>
      <c r="C9" s="4" t="s">
        <v>46</v>
      </c>
      <c r="D9" s="4" t="s">
        <v>47</v>
      </c>
      <c r="E9" s="4" t="s">
        <v>48</v>
      </c>
      <c r="F9" s="4" t="n">
        <v>0.02</v>
      </c>
      <c r="G9" s="4" t="n">
        <f aca="false">B9*F9</f>
        <v>0.16</v>
      </c>
      <c r="H9" s="4" t="s">
        <v>14</v>
      </c>
      <c r="I9" s="4" t="s">
        <v>49</v>
      </c>
      <c r="J9" s="4" t="s">
        <v>50</v>
      </c>
    </row>
    <row r="10" customFormat="false" ht="15" hidden="false" customHeight="false" outlineLevel="0" collapsed="false">
      <c r="A10" s="4" t="s">
        <v>10</v>
      </c>
      <c r="B10" s="4" t="n">
        <v>6</v>
      </c>
      <c r="C10" s="4" t="s">
        <v>51</v>
      </c>
      <c r="D10" s="4" t="s">
        <v>52</v>
      </c>
      <c r="E10" s="4" t="s">
        <v>53</v>
      </c>
      <c r="F10" s="4" t="n">
        <v>0.08</v>
      </c>
      <c r="G10" s="4" t="n">
        <f aca="false">B10*F10</f>
        <v>0.48</v>
      </c>
      <c r="H10" s="4" t="s">
        <v>14</v>
      </c>
      <c r="I10" s="4" t="s">
        <v>54</v>
      </c>
      <c r="J10" s="4" t="s">
        <v>55</v>
      </c>
    </row>
    <row r="11" customFormat="false" ht="15" hidden="false" customHeight="false" outlineLevel="0" collapsed="false">
      <c r="A11" s="4" t="s">
        <v>10</v>
      </c>
      <c r="B11" s="4" t="n">
        <v>2</v>
      </c>
      <c r="C11" s="4" t="s">
        <v>56</v>
      </c>
      <c r="D11" s="4" t="s">
        <v>57</v>
      </c>
      <c r="E11" s="4" t="s">
        <v>58</v>
      </c>
      <c r="F11" s="4" t="n">
        <v>0.05</v>
      </c>
      <c r="G11" s="4" t="n">
        <f aca="false">B11*F11</f>
        <v>0.1</v>
      </c>
      <c r="H11" s="4" t="s">
        <v>14</v>
      </c>
      <c r="I11" s="4" t="s">
        <v>59</v>
      </c>
      <c r="J11" s="4" t="s">
        <v>60</v>
      </c>
    </row>
    <row r="12" customFormat="false" ht="15" hidden="false" customHeight="false" outlineLevel="0" collapsed="false">
      <c r="A12" s="4" t="s">
        <v>10</v>
      </c>
      <c r="B12" s="4" t="n">
        <v>2</v>
      </c>
      <c r="C12" s="4" t="s">
        <v>61</v>
      </c>
      <c r="D12" s="4" t="s">
        <v>62</v>
      </c>
      <c r="E12" s="4" t="s">
        <v>63</v>
      </c>
      <c r="F12" s="4" t="n">
        <v>0.02</v>
      </c>
      <c r="G12" s="4" t="n">
        <f aca="false">B12*F12</f>
        <v>0.04</v>
      </c>
      <c r="H12" s="4" t="s">
        <v>14</v>
      </c>
      <c r="I12" s="4" t="s">
        <v>64</v>
      </c>
      <c r="J12" s="4" t="s">
        <v>65</v>
      </c>
    </row>
    <row r="13" customFormat="false" ht="15" hidden="false" customHeight="false" outlineLevel="0" collapsed="false">
      <c r="A13" s="4" t="s">
        <v>66</v>
      </c>
      <c r="B13" s="4" t="n">
        <v>1</v>
      </c>
      <c r="C13" s="4" t="s">
        <v>67</v>
      </c>
      <c r="D13" s="4" t="s">
        <v>68</v>
      </c>
      <c r="E13" s="4" t="s">
        <v>69</v>
      </c>
      <c r="F13" s="4" t="n">
        <v>3.5</v>
      </c>
      <c r="G13" s="4" t="n">
        <f aca="false">B13*F13</f>
        <v>3.5</v>
      </c>
      <c r="H13" s="4" t="s">
        <v>70</v>
      </c>
      <c r="I13" s="4" t="s">
        <v>68</v>
      </c>
      <c r="J13" s="4" t="s">
        <v>71</v>
      </c>
    </row>
    <row r="14" customFormat="false" ht="15" hidden="false" customHeight="false" outlineLevel="0" collapsed="false">
      <c r="A14" s="4" t="s">
        <v>66</v>
      </c>
      <c r="B14" s="4" t="n">
        <v>1</v>
      </c>
      <c r="C14" s="4" t="s">
        <v>72</v>
      </c>
      <c r="D14" s="4" t="s">
        <v>73</v>
      </c>
      <c r="E14" s="4" t="s">
        <v>74</v>
      </c>
      <c r="F14" s="4" t="n">
        <v>0.35</v>
      </c>
      <c r="G14" s="4" t="n">
        <f aca="false">B14*F14</f>
        <v>0.35</v>
      </c>
      <c r="H14" s="4" t="s">
        <v>14</v>
      </c>
      <c r="I14" s="4" t="s">
        <v>75</v>
      </c>
      <c r="J14" s="4" t="s">
        <v>76</v>
      </c>
    </row>
    <row r="15" customFormat="false" ht="15" hidden="false" customHeight="false" outlineLevel="0" collapsed="false">
      <c r="A15" s="4" t="s">
        <v>66</v>
      </c>
      <c r="B15" s="4" t="n">
        <v>1</v>
      </c>
      <c r="C15" s="4" t="s">
        <v>77</v>
      </c>
      <c r="D15" s="4" t="s">
        <v>78</v>
      </c>
      <c r="E15" s="4" t="s">
        <v>79</v>
      </c>
      <c r="F15" s="4" t="n">
        <v>0.45</v>
      </c>
      <c r="G15" s="4" t="n">
        <f aca="false">B15*F15</f>
        <v>0.45</v>
      </c>
      <c r="H15" s="4" t="s">
        <v>80</v>
      </c>
      <c r="I15" s="4" t="s">
        <v>78</v>
      </c>
      <c r="J15" s="4" t="s">
        <v>81</v>
      </c>
    </row>
    <row r="16" customFormat="false" ht="15" hidden="false" customHeight="false" outlineLevel="0" collapsed="false">
      <c r="A16" s="4" t="s">
        <v>66</v>
      </c>
      <c r="B16" s="4" t="n">
        <v>2</v>
      </c>
      <c r="C16" s="4" t="s">
        <v>82</v>
      </c>
      <c r="D16" s="4" t="s">
        <v>83</v>
      </c>
      <c r="E16" s="4" t="s">
        <v>84</v>
      </c>
      <c r="F16" s="4" t="n">
        <v>0.02</v>
      </c>
      <c r="G16" s="4" t="n">
        <f aca="false">B16*F16</f>
        <v>0.04</v>
      </c>
      <c r="H16" s="4" t="s">
        <v>14</v>
      </c>
      <c r="I16" s="4" t="s">
        <v>85</v>
      </c>
      <c r="J16" s="4" t="s">
        <v>86</v>
      </c>
    </row>
    <row r="17" customFormat="false" ht="15" hidden="false" customHeight="false" outlineLevel="0" collapsed="false">
      <c r="A17" s="4" t="s">
        <v>66</v>
      </c>
      <c r="B17" s="4" t="n">
        <v>1</v>
      </c>
      <c r="C17" s="4" t="s">
        <v>87</v>
      </c>
      <c r="D17" s="4" t="s">
        <v>88</v>
      </c>
      <c r="E17" s="4" t="s">
        <v>89</v>
      </c>
      <c r="F17" s="4" t="n">
        <v>0.25</v>
      </c>
      <c r="G17" s="4" t="n">
        <f aca="false">B17*F17</f>
        <v>0.25</v>
      </c>
      <c r="H17" s="4" t="s">
        <v>36</v>
      </c>
      <c r="I17" s="4" t="s">
        <v>90</v>
      </c>
      <c r="J17" s="4" t="s">
        <v>91</v>
      </c>
    </row>
    <row r="18" customFormat="false" ht="15" hidden="false" customHeight="false" outlineLevel="0" collapsed="false">
      <c r="A18" s="4" t="s">
        <v>66</v>
      </c>
      <c r="B18" s="4" t="n">
        <v>1</v>
      </c>
      <c r="C18" s="4" t="s">
        <v>92</v>
      </c>
      <c r="D18" s="4" t="s">
        <v>93</v>
      </c>
      <c r="E18" s="4" t="s">
        <v>94</v>
      </c>
      <c r="F18" s="4" t="n">
        <v>0.15</v>
      </c>
      <c r="G18" s="4" t="n">
        <f aca="false">B18*F18</f>
        <v>0.15</v>
      </c>
      <c r="H18" s="4" t="s">
        <v>14</v>
      </c>
      <c r="I18" s="4" t="s">
        <v>95</v>
      </c>
      <c r="J18" s="4" t="s">
        <v>96</v>
      </c>
    </row>
    <row r="19" customFormat="false" ht="15" hidden="false" customHeight="false" outlineLevel="0" collapsed="false">
      <c r="A19" s="4" t="s">
        <v>66</v>
      </c>
      <c r="B19" s="4" t="n">
        <v>2</v>
      </c>
      <c r="C19" s="4" t="s">
        <v>97</v>
      </c>
      <c r="D19" s="4" t="s">
        <v>98</v>
      </c>
      <c r="E19" s="4" t="s">
        <v>99</v>
      </c>
      <c r="F19" s="4" t="n">
        <v>0.08</v>
      </c>
      <c r="G19" s="4" t="n">
        <f aca="false">B19*F19</f>
        <v>0.16</v>
      </c>
      <c r="H19" s="4" t="s">
        <v>14</v>
      </c>
      <c r="I19" s="4" t="s">
        <v>100</v>
      </c>
      <c r="J19" s="4" t="s">
        <v>101</v>
      </c>
    </row>
    <row r="20" customFormat="false" ht="15" hidden="false" customHeight="false" outlineLevel="0" collapsed="false">
      <c r="A20" s="4" t="s">
        <v>66</v>
      </c>
      <c r="B20" s="4" t="n">
        <v>6</v>
      </c>
      <c r="C20" s="4" t="s">
        <v>102</v>
      </c>
      <c r="D20" s="4" t="s">
        <v>103</v>
      </c>
      <c r="E20" s="4" t="s">
        <v>104</v>
      </c>
      <c r="F20" s="4" t="n">
        <v>0.02</v>
      </c>
      <c r="G20" s="4" t="n">
        <f aca="false">B20*F20</f>
        <v>0.12</v>
      </c>
      <c r="H20" s="4" t="s">
        <v>14</v>
      </c>
      <c r="I20" s="4" t="s">
        <v>105</v>
      </c>
      <c r="J20" s="4" t="s">
        <v>106</v>
      </c>
    </row>
    <row r="21" customFormat="false" ht="15" hidden="false" customHeight="false" outlineLevel="0" collapsed="false">
      <c r="A21" s="4" t="s">
        <v>66</v>
      </c>
      <c r="B21" s="4" t="n">
        <v>1</v>
      </c>
      <c r="C21" s="4" t="s">
        <v>107</v>
      </c>
      <c r="D21" s="4" t="s">
        <v>108</v>
      </c>
      <c r="E21" s="4" t="s">
        <v>109</v>
      </c>
      <c r="F21" s="4" t="n">
        <v>0.15</v>
      </c>
      <c r="G21" s="4" t="n">
        <f aca="false">B21*F21</f>
        <v>0.15</v>
      </c>
      <c r="H21" s="4" t="s">
        <v>36</v>
      </c>
      <c r="I21" s="4" t="s">
        <v>110</v>
      </c>
      <c r="J21" s="4" t="s">
        <v>111</v>
      </c>
    </row>
    <row r="22" customFormat="false" ht="15" hidden="false" customHeight="false" outlineLevel="0" collapsed="false">
      <c r="A22" s="4" t="s">
        <v>66</v>
      </c>
      <c r="B22" s="4" t="n">
        <v>2</v>
      </c>
      <c r="C22" s="4" t="s">
        <v>112</v>
      </c>
      <c r="D22" s="4" t="s">
        <v>113</v>
      </c>
      <c r="E22" s="4" t="s">
        <v>114</v>
      </c>
      <c r="F22" s="4" t="n">
        <v>0.12</v>
      </c>
      <c r="G22" s="4" t="n">
        <f aca="false">B22*F22</f>
        <v>0.24</v>
      </c>
      <c r="H22" s="4" t="s">
        <v>36</v>
      </c>
      <c r="I22" s="4" t="s">
        <v>113</v>
      </c>
      <c r="J22" s="4" t="s">
        <v>115</v>
      </c>
    </row>
    <row r="23" customFormat="false" ht="15" hidden="false" customHeight="false" outlineLevel="0" collapsed="false">
      <c r="A23" s="4" t="s">
        <v>66</v>
      </c>
      <c r="B23" s="4" t="n">
        <v>2</v>
      </c>
      <c r="C23" s="4" t="s">
        <v>116</v>
      </c>
      <c r="D23" s="4" t="s">
        <v>117</v>
      </c>
      <c r="E23" s="4" t="s">
        <v>118</v>
      </c>
      <c r="F23" s="4" t="n">
        <v>0.08</v>
      </c>
      <c r="G23" s="4" t="n">
        <f aca="false">B23*F23</f>
        <v>0.16</v>
      </c>
      <c r="H23" s="4" t="s">
        <v>14</v>
      </c>
      <c r="I23" s="4" t="s">
        <v>119</v>
      </c>
      <c r="J23" s="4" t="s">
        <v>120</v>
      </c>
    </row>
    <row r="24" customFormat="false" ht="15" hidden="false" customHeight="false" outlineLevel="0" collapsed="false">
      <c r="A24" s="4" t="s">
        <v>66</v>
      </c>
      <c r="B24" s="4" t="n">
        <v>7</v>
      </c>
      <c r="C24" s="4" t="s">
        <v>121</v>
      </c>
      <c r="D24" s="4" t="s">
        <v>122</v>
      </c>
      <c r="E24" s="4" t="s">
        <v>123</v>
      </c>
      <c r="F24" s="4" t="n">
        <v>0.05</v>
      </c>
      <c r="G24" s="4" t="n">
        <f aca="false">B24*F24</f>
        <v>0.35</v>
      </c>
      <c r="H24" s="4" t="s">
        <v>14</v>
      </c>
      <c r="I24" s="4" t="s">
        <v>124</v>
      </c>
      <c r="J24" s="4" t="s">
        <v>125</v>
      </c>
    </row>
    <row r="25" customFormat="false" ht="15" hidden="false" customHeight="false" outlineLevel="0" collapsed="false">
      <c r="A25" s="4" t="s">
        <v>126</v>
      </c>
      <c r="B25" s="4" t="n">
        <v>1</v>
      </c>
      <c r="C25" s="4" t="s">
        <v>127</v>
      </c>
      <c r="D25" s="4" t="s">
        <v>128</v>
      </c>
      <c r="E25" s="4" t="s">
        <v>129</v>
      </c>
      <c r="F25" s="4" t="n">
        <v>1.4</v>
      </c>
      <c r="G25" s="4" t="n">
        <f aca="false">B25*F25</f>
        <v>1.4</v>
      </c>
      <c r="H25" s="4" t="s">
        <v>130</v>
      </c>
      <c r="I25" s="4" t="s">
        <v>128</v>
      </c>
      <c r="J25" s="4" t="s">
        <v>131</v>
      </c>
    </row>
    <row r="26" customFormat="false" ht="15" hidden="false" customHeight="false" outlineLevel="0" collapsed="false">
      <c r="A26" s="4" t="s">
        <v>126</v>
      </c>
      <c r="B26" s="4" t="n">
        <v>1</v>
      </c>
      <c r="C26" s="4" t="s">
        <v>132</v>
      </c>
      <c r="D26" s="4" t="s">
        <v>133</v>
      </c>
      <c r="E26" s="4" t="s">
        <v>134</v>
      </c>
      <c r="F26" s="4" t="n">
        <v>2.5</v>
      </c>
      <c r="G26" s="4" t="n">
        <f aca="false">B26*F26</f>
        <v>2.5</v>
      </c>
      <c r="H26" s="4" t="s">
        <v>135</v>
      </c>
      <c r="I26" s="4" t="s">
        <v>136</v>
      </c>
      <c r="J26" s="4" t="s">
        <v>137</v>
      </c>
    </row>
    <row r="27" customFormat="false" ht="15" hidden="false" customHeight="false" outlineLevel="0" collapsed="false">
      <c r="A27" s="4" t="s">
        <v>126</v>
      </c>
      <c r="B27" s="4" t="n">
        <v>1</v>
      </c>
      <c r="C27" s="4" t="s">
        <v>138</v>
      </c>
      <c r="D27" s="4" t="s">
        <v>139</v>
      </c>
      <c r="E27" s="4" t="s">
        <v>140</v>
      </c>
      <c r="F27" s="4" t="n">
        <v>0.8</v>
      </c>
      <c r="G27" s="4" t="n">
        <f aca="false">B27*F27</f>
        <v>0.8</v>
      </c>
      <c r="H27" s="4" t="s">
        <v>14</v>
      </c>
      <c r="I27" s="4" t="s">
        <v>141</v>
      </c>
      <c r="J27" s="4" t="s">
        <v>142</v>
      </c>
    </row>
    <row r="28" customFormat="false" ht="15" hidden="false" customHeight="false" outlineLevel="0" collapsed="false">
      <c r="A28" s="4" t="s">
        <v>126</v>
      </c>
      <c r="B28" s="4" t="n">
        <v>1</v>
      </c>
      <c r="C28" s="4" t="s">
        <v>143</v>
      </c>
      <c r="D28" s="4" t="s">
        <v>144</v>
      </c>
      <c r="E28" s="4" t="s">
        <v>145</v>
      </c>
      <c r="F28" s="4" t="n">
        <v>0.02</v>
      </c>
      <c r="G28" s="4" t="n">
        <f aca="false">B28*F28</f>
        <v>0.02</v>
      </c>
      <c r="H28" s="4" t="s">
        <v>14</v>
      </c>
      <c r="I28" s="4" t="s">
        <v>146</v>
      </c>
      <c r="J28" s="4" t="s">
        <v>147</v>
      </c>
    </row>
    <row r="29" customFormat="false" ht="15" hidden="false" customHeight="false" outlineLevel="0" collapsed="false">
      <c r="A29" s="4" t="s">
        <v>126</v>
      </c>
      <c r="B29" s="4" t="n">
        <v>2</v>
      </c>
      <c r="C29" s="4" t="s">
        <v>148</v>
      </c>
      <c r="D29" s="4" t="s">
        <v>149</v>
      </c>
      <c r="E29" s="4" t="s">
        <v>150</v>
      </c>
      <c r="F29" s="4" t="n">
        <v>0.02</v>
      </c>
      <c r="G29" s="4" t="n">
        <f aca="false">B29*F29</f>
        <v>0.04</v>
      </c>
      <c r="H29" s="4" t="s">
        <v>14</v>
      </c>
      <c r="I29" s="4" t="s">
        <v>151</v>
      </c>
      <c r="J29" s="4" t="s">
        <v>152</v>
      </c>
    </row>
    <row r="30" customFormat="false" ht="15" hidden="false" customHeight="false" outlineLevel="0" collapsed="false">
      <c r="A30" s="4" t="s">
        <v>126</v>
      </c>
      <c r="B30" s="4" t="n">
        <v>2</v>
      </c>
      <c r="C30" s="4" t="s">
        <v>153</v>
      </c>
      <c r="D30" s="4" t="s">
        <v>154</v>
      </c>
      <c r="E30" s="4" t="s">
        <v>155</v>
      </c>
      <c r="F30" s="4" t="n">
        <v>0.02</v>
      </c>
      <c r="G30" s="4" t="n">
        <f aca="false">B30*F30</f>
        <v>0.04</v>
      </c>
      <c r="H30" s="4" t="s">
        <v>14</v>
      </c>
      <c r="I30" s="4" t="s">
        <v>105</v>
      </c>
      <c r="J30" s="4" t="s">
        <v>156</v>
      </c>
    </row>
    <row r="31" customFormat="false" ht="15" hidden="false" customHeight="false" outlineLevel="0" collapsed="false">
      <c r="A31" s="4" t="s">
        <v>126</v>
      </c>
      <c r="B31" s="4" t="n">
        <v>1</v>
      </c>
      <c r="C31" s="4" t="s">
        <v>157</v>
      </c>
      <c r="D31" s="4" t="s">
        <v>158</v>
      </c>
      <c r="E31" s="4" t="s">
        <v>159</v>
      </c>
      <c r="F31" s="4" t="n">
        <v>0.05</v>
      </c>
      <c r="G31" s="4" t="n">
        <f aca="false">B31*F31</f>
        <v>0.05</v>
      </c>
      <c r="H31" s="4" t="s">
        <v>14</v>
      </c>
      <c r="I31" s="4" t="s">
        <v>160</v>
      </c>
      <c r="J31" s="4" t="s">
        <v>161</v>
      </c>
    </row>
    <row r="32" customFormat="false" ht="15" hidden="false" customHeight="false" outlineLevel="0" collapsed="false">
      <c r="A32" s="4" t="s">
        <v>126</v>
      </c>
      <c r="B32" s="4" t="n">
        <v>1</v>
      </c>
      <c r="C32" s="4" t="s">
        <v>162</v>
      </c>
      <c r="D32" s="4" t="s">
        <v>163</v>
      </c>
      <c r="E32" s="4" t="s">
        <v>164</v>
      </c>
      <c r="F32" s="4" t="n">
        <v>0.08</v>
      </c>
      <c r="G32" s="4" t="n">
        <f aca="false">B32*F32</f>
        <v>0.08</v>
      </c>
      <c r="H32" s="4" t="s">
        <v>14</v>
      </c>
      <c r="I32" s="4" t="s">
        <v>100</v>
      </c>
      <c r="J32" s="4" t="s">
        <v>165</v>
      </c>
    </row>
    <row r="33" customFormat="false" ht="15" hidden="false" customHeight="false" outlineLevel="0" collapsed="false">
      <c r="A33" s="4" t="s">
        <v>126</v>
      </c>
      <c r="B33" s="4" t="n">
        <v>6</v>
      </c>
      <c r="C33" s="4" t="s">
        <v>166</v>
      </c>
      <c r="D33" s="4" t="s">
        <v>167</v>
      </c>
      <c r="E33" s="4" t="s">
        <v>168</v>
      </c>
      <c r="F33" s="4" t="n">
        <v>0.05</v>
      </c>
      <c r="G33" s="4" t="n">
        <f aca="false">B33*F33</f>
        <v>0.3</v>
      </c>
      <c r="H33" s="4" t="s">
        <v>14</v>
      </c>
      <c r="I33" s="4" t="s">
        <v>124</v>
      </c>
      <c r="J33" s="4" t="s">
        <v>169</v>
      </c>
    </row>
    <row r="34" customFormat="false" ht="15" hidden="false" customHeight="false" outlineLevel="0" collapsed="false">
      <c r="A34" s="4" t="s">
        <v>170</v>
      </c>
      <c r="B34" s="4" t="n">
        <v>1</v>
      </c>
      <c r="C34" s="4" t="s">
        <v>171</v>
      </c>
      <c r="D34" s="4" t="s">
        <v>172</v>
      </c>
      <c r="E34" s="4" t="s">
        <v>173</v>
      </c>
      <c r="F34" s="4" t="n">
        <v>0.8</v>
      </c>
      <c r="G34" s="4" t="n">
        <f aca="false">B34*F34</f>
        <v>0.8</v>
      </c>
      <c r="H34" s="4" t="s">
        <v>174</v>
      </c>
      <c r="I34" s="4" t="s">
        <v>172</v>
      </c>
      <c r="J34" s="4" t="s">
        <v>175</v>
      </c>
    </row>
    <row r="35" customFormat="false" ht="15" hidden="false" customHeight="false" outlineLevel="0" collapsed="false">
      <c r="A35" s="4" t="s">
        <v>170</v>
      </c>
      <c r="B35" s="4" t="n">
        <v>2</v>
      </c>
      <c r="C35" s="4" t="s">
        <v>176</v>
      </c>
      <c r="D35" s="4" t="s">
        <v>177</v>
      </c>
      <c r="E35" s="4" t="s">
        <v>178</v>
      </c>
      <c r="F35" s="4" t="n">
        <v>0.02</v>
      </c>
      <c r="G35" s="4" t="n">
        <f aca="false">B35*F35</f>
        <v>0.04</v>
      </c>
      <c r="H35" s="4" t="s">
        <v>14</v>
      </c>
      <c r="I35" s="4" t="s">
        <v>179</v>
      </c>
      <c r="J35" s="4" t="s">
        <v>180</v>
      </c>
    </row>
    <row r="36" customFormat="false" ht="15" hidden="false" customHeight="false" outlineLevel="0" collapsed="false">
      <c r="A36" s="4" t="s">
        <v>170</v>
      </c>
      <c r="B36" s="4" t="n">
        <v>1</v>
      </c>
      <c r="C36" s="4" t="s">
        <v>181</v>
      </c>
      <c r="D36" s="4" t="s">
        <v>182</v>
      </c>
      <c r="E36" s="4" t="s">
        <v>183</v>
      </c>
      <c r="F36" s="4" t="n">
        <v>0.1</v>
      </c>
      <c r="G36" s="4" t="n">
        <f aca="false">B36*F36</f>
        <v>0.1</v>
      </c>
      <c r="H36" s="4" t="s">
        <v>14</v>
      </c>
      <c r="I36" s="4" t="s">
        <v>184</v>
      </c>
      <c r="J36" s="4" t="s">
        <v>185</v>
      </c>
    </row>
    <row r="37" customFormat="false" ht="15" hidden="false" customHeight="false" outlineLevel="0" collapsed="false">
      <c r="A37" s="4" t="s">
        <v>170</v>
      </c>
      <c r="B37" s="4" t="n">
        <v>1</v>
      </c>
      <c r="C37" s="4" t="s">
        <v>186</v>
      </c>
      <c r="D37" s="4" t="s">
        <v>182</v>
      </c>
      <c r="E37" s="4" t="s">
        <v>187</v>
      </c>
      <c r="F37" s="4" t="n">
        <v>0.1</v>
      </c>
      <c r="G37" s="4" t="n">
        <f aca="false">B37*F37</f>
        <v>0.1</v>
      </c>
      <c r="H37" s="4" t="s">
        <v>14</v>
      </c>
      <c r="I37" s="4" t="s">
        <v>184</v>
      </c>
      <c r="J37" s="4" t="s">
        <v>185</v>
      </c>
    </row>
    <row r="38" customFormat="false" ht="15" hidden="false" customHeight="false" outlineLevel="0" collapsed="false">
      <c r="A38" s="4" t="s">
        <v>170</v>
      </c>
      <c r="B38" s="4" t="n">
        <v>1</v>
      </c>
      <c r="C38" s="4" t="s">
        <v>188</v>
      </c>
      <c r="D38" s="4" t="s">
        <v>189</v>
      </c>
      <c r="E38" s="4" t="s">
        <v>190</v>
      </c>
      <c r="F38" s="4" t="n">
        <v>0.08</v>
      </c>
      <c r="G38" s="4" t="n">
        <f aca="false">B38*F38</f>
        <v>0.08</v>
      </c>
      <c r="H38" s="4" t="s">
        <v>14</v>
      </c>
      <c r="I38" s="4" t="s">
        <v>191</v>
      </c>
      <c r="J38" s="4" t="s">
        <v>192</v>
      </c>
    </row>
    <row r="39" customFormat="false" ht="15" hidden="false" customHeight="false" outlineLevel="0" collapsed="false">
      <c r="A39" s="4" t="s">
        <v>170</v>
      </c>
      <c r="B39" s="4" t="n">
        <v>2</v>
      </c>
      <c r="C39" s="4" t="s">
        <v>193</v>
      </c>
      <c r="D39" s="4" t="s">
        <v>194</v>
      </c>
      <c r="E39" s="4" t="s">
        <v>195</v>
      </c>
      <c r="F39" s="4" t="n">
        <v>0.02</v>
      </c>
      <c r="G39" s="4" t="n">
        <f aca="false">B39*F39</f>
        <v>0.04</v>
      </c>
      <c r="H39" s="4" t="s">
        <v>14</v>
      </c>
      <c r="I39" s="4" t="s">
        <v>196</v>
      </c>
      <c r="J39" s="4" t="s">
        <v>197</v>
      </c>
    </row>
    <row r="40" customFormat="false" ht="15" hidden="false" customHeight="false" outlineLevel="0" collapsed="false">
      <c r="A40" s="4" t="s">
        <v>170</v>
      </c>
      <c r="B40" s="4" t="n">
        <v>2</v>
      </c>
      <c r="C40" s="4" t="s">
        <v>198</v>
      </c>
      <c r="D40" s="4" t="s">
        <v>199</v>
      </c>
      <c r="E40" s="4" t="s">
        <v>200</v>
      </c>
      <c r="F40" s="4" t="n">
        <v>0.02</v>
      </c>
      <c r="G40" s="4" t="n">
        <f aca="false">B40*F40</f>
        <v>0.04</v>
      </c>
      <c r="H40" s="4" t="s">
        <v>14</v>
      </c>
      <c r="I40" s="4" t="s">
        <v>201</v>
      </c>
      <c r="J40" s="4" t="s">
        <v>202</v>
      </c>
    </row>
    <row r="41" customFormat="false" ht="15" hidden="false" customHeight="false" outlineLevel="0" collapsed="false">
      <c r="A41" s="4" t="s">
        <v>170</v>
      </c>
      <c r="B41" s="4" t="n">
        <v>2</v>
      </c>
      <c r="C41" s="4" t="s">
        <v>203</v>
      </c>
      <c r="D41" s="4" t="s">
        <v>204</v>
      </c>
      <c r="E41" s="4" t="s">
        <v>200</v>
      </c>
      <c r="F41" s="4" t="n">
        <v>0.08</v>
      </c>
      <c r="G41" s="4" t="n">
        <f aca="false">B41*F41</f>
        <v>0.16</v>
      </c>
      <c r="H41" s="4" t="s">
        <v>14</v>
      </c>
      <c r="I41" s="4" t="s">
        <v>205</v>
      </c>
      <c r="J41" s="4" t="s">
        <v>206</v>
      </c>
    </row>
    <row r="42" customFormat="false" ht="15" hidden="false" customHeight="false" outlineLevel="0" collapsed="false">
      <c r="A42" s="4" t="s">
        <v>170</v>
      </c>
      <c r="B42" s="4" t="n">
        <v>2</v>
      </c>
      <c r="C42" s="4" t="s">
        <v>207</v>
      </c>
      <c r="D42" s="4" t="s">
        <v>208</v>
      </c>
      <c r="E42" s="4" t="s">
        <v>209</v>
      </c>
      <c r="F42" s="4" t="n">
        <v>0.02</v>
      </c>
      <c r="G42" s="4" t="n">
        <f aca="false">B42*F42</f>
        <v>0.04</v>
      </c>
      <c r="H42" s="4" t="s">
        <v>14</v>
      </c>
      <c r="I42" s="4" t="s">
        <v>210</v>
      </c>
      <c r="J42" s="4" t="s">
        <v>211</v>
      </c>
    </row>
    <row r="43" customFormat="false" ht="15" hidden="false" customHeight="false" outlineLevel="0" collapsed="false">
      <c r="A43" s="4" t="s">
        <v>170</v>
      </c>
      <c r="B43" s="4" t="n">
        <v>1</v>
      </c>
      <c r="C43" s="4" t="s">
        <v>212</v>
      </c>
      <c r="D43" s="4" t="s">
        <v>213</v>
      </c>
      <c r="E43" s="4" t="s">
        <v>214</v>
      </c>
      <c r="F43" s="4" t="n">
        <v>0.05</v>
      </c>
      <c r="G43" s="4" t="n">
        <f aca="false">B43*F43</f>
        <v>0.05</v>
      </c>
      <c r="H43" s="4" t="s">
        <v>14</v>
      </c>
      <c r="I43" s="4" t="s">
        <v>215</v>
      </c>
      <c r="J43" s="4" t="s">
        <v>216</v>
      </c>
    </row>
    <row r="44" customFormat="false" ht="15" hidden="false" customHeight="false" outlineLevel="0" collapsed="false">
      <c r="A44" s="4" t="s">
        <v>217</v>
      </c>
      <c r="B44" s="4" t="n">
        <v>1</v>
      </c>
      <c r="C44" s="4" t="s">
        <v>218</v>
      </c>
      <c r="D44" s="4" t="s">
        <v>219</v>
      </c>
      <c r="E44" s="4" t="s">
        <v>220</v>
      </c>
      <c r="F44" s="4" t="n">
        <v>2.5</v>
      </c>
      <c r="G44" s="4" t="n">
        <f aca="false">B44*F44</f>
        <v>2.5</v>
      </c>
      <c r="H44" s="4" t="s">
        <v>221</v>
      </c>
      <c r="I44" s="4" t="s">
        <v>222</v>
      </c>
      <c r="J44" s="4" t="s">
        <v>223</v>
      </c>
    </row>
    <row r="45" customFormat="false" ht="15" hidden="false" customHeight="false" outlineLevel="0" collapsed="false">
      <c r="A45" s="4" t="s">
        <v>217</v>
      </c>
      <c r="B45" s="4" t="n">
        <v>1</v>
      </c>
      <c r="C45" s="4" t="s">
        <v>224</v>
      </c>
      <c r="D45" s="4" t="s">
        <v>225</v>
      </c>
      <c r="E45" s="4" t="s">
        <v>220</v>
      </c>
      <c r="F45" s="4" t="n">
        <v>1.5</v>
      </c>
      <c r="G45" s="4" t="n">
        <f aca="false">B45*F45</f>
        <v>1.5</v>
      </c>
      <c r="H45" s="4" t="s">
        <v>221</v>
      </c>
      <c r="I45" s="4" t="s">
        <v>226</v>
      </c>
      <c r="J45" s="4" t="s">
        <v>223</v>
      </c>
    </row>
    <row r="46" customFormat="false" ht="15" hidden="false" customHeight="false" outlineLevel="0" collapsed="false">
      <c r="A46" s="4" t="s">
        <v>217</v>
      </c>
      <c r="B46" s="4" t="n">
        <v>1</v>
      </c>
      <c r="C46" s="4" t="s">
        <v>227</v>
      </c>
      <c r="D46" s="4" t="s">
        <v>190</v>
      </c>
      <c r="E46" s="4" t="s">
        <v>220</v>
      </c>
      <c r="F46" s="4" t="n">
        <v>0.8</v>
      </c>
      <c r="G46" s="4" t="n">
        <f aca="false">B46*F46</f>
        <v>0.8</v>
      </c>
      <c r="H46" s="4" t="s">
        <v>221</v>
      </c>
      <c r="I46" s="4" t="s">
        <v>227</v>
      </c>
      <c r="J46" s="4" t="s">
        <v>223</v>
      </c>
    </row>
    <row r="47" customFormat="false" ht="15" hidden="false" customHeight="false" outlineLevel="0" collapsed="false">
      <c r="A47" s="4" t="s">
        <v>228</v>
      </c>
      <c r="B47" s="4" t="n">
        <v>1</v>
      </c>
      <c r="C47" s="4" t="s">
        <v>229</v>
      </c>
      <c r="D47" s="4" t="s">
        <v>230</v>
      </c>
      <c r="E47" s="4" t="s">
        <v>231</v>
      </c>
      <c r="F47" s="4" t="n">
        <v>10</v>
      </c>
      <c r="G47" s="4" t="n">
        <f aca="false">B47*F47</f>
        <v>10</v>
      </c>
      <c r="H47" s="4" t="s">
        <v>232</v>
      </c>
      <c r="I47" s="4" t="s">
        <v>233</v>
      </c>
      <c r="J47" s="4" t="s">
        <v>234</v>
      </c>
    </row>
    <row r="49" customFormat="false" ht="15" hidden="false" customHeight="false" outlineLevel="0" collapsed="false">
      <c r="A49" s="0" t="s">
        <v>235</v>
      </c>
      <c r="D49" s="0" t="s">
        <v>235</v>
      </c>
      <c r="G49" s="0" t="n">
        <f aca="false">SUM(G2:G47)</f>
        <v>32.28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2"/>
    <col collapsed="false" customWidth="true" hidden="false" outlineLevel="0" max="4" min="4" style="0" width="70"/>
  </cols>
  <sheetData>
    <row r="1" customFormat="false" ht="15" hidden="false" customHeight="false" outlineLevel="0" collapsed="false">
      <c r="A1" s="5" t="s">
        <v>0</v>
      </c>
      <c r="B1" s="6" t="s">
        <v>236</v>
      </c>
      <c r="D1" s="7" t="s">
        <v>4</v>
      </c>
    </row>
    <row r="2" customFormat="false" ht="46.25" hidden="false" customHeight="false" outlineLevel="0" collapsed="false">
      <c r="A2" s="0" t="s">
        <v>10</v>
      </c>
      <c r="B2" s="0" t="n">
        <f aca="false">SUMIF('Preliminary BOM'!A:A,A2,'Preliminary BOM'!G:G)</f>
        <v>4.88</v>
      </c>
      <c r="D2" s="8" t="s">
        <v>237</v>
      </c>
    </row>
    <row r="3" customFormat="false" ht="15" hidden="false" customHeight="false" outlineLevel="0" collapsed="false">
      <c r="A3" s="0" t="s">
        <v>66</v>
      </c>
      <c r="B3" s="0" t="n">
        <f aca="false">SUMIF('Preliminary BOM'!A:A,A3,'Preliminary BOM'!G:G)</f>
        <v>5.92</v>
      </c>
    </row>
    <row r="4" customFormat="false" ht="15" hidden="false" customHeight="false" outlineLevel="0" collapsed="false">
      <c r="A4" s="0" t="s">
        <v>126</v>
      </c>
      <c r="B4" s="0" t="n">
        <f aca="false">SUMIF('Preliminary BOM'!A:A,A4,'Preliminary BOM'!G:G)</f>
        <v>5.23</v>
      </c>
    </row>
    <row r="5" customFormat="false" ht="15" hidden="false" customHeight="false" outlineLevel="0" collapsed="false">
      <c r="A5" s="0" t="s">
        <v>170</v>
      </c>
      <c r="B5" s="0" t="n">
        <f aca="false">SUMIF('Preliminary BOM'!A:A,A5,'Preliminary BOM'!G:G)</f>
        <v>1.45</v>
      </c>
    </row>
    <row r="6" customFormat="false" ht="15" hidden="false" customHeight="false" outlineLevel="0" collapsed="false">
      <c r="A6" s="0" t="s">
        <v>217</v>
      </c>
      <c r="B6" s="0" t="n">
        <f aca="false">SUMIF('Preliminary BOM'!A:A,A6,'Preliminary BOM'!G:G)</f>
        <v>4.8</v>
      </c>
    </row>
    <row r="7" customFormat="false" ht="15" hidden="false" customHeight="false" outlineLevel="0" collapsed="false">
      <c r="A7" s="0" t="s">
        <v>228</v>
      </c>
      <c r="B7" s="0" t="n">
        <f aca="false">SUMIF('Preliminary BOM'!A:A,A7,'Preliminary BOM'!G:G)</f>
        <v>10</v>
      </c>
    </row>
    <row r="9" customFormat="false" ht="15" hidden="false" customHeight="false" outlineLevel="0" collapsed="false">
      <c r="A9" s="9" t="s">
        <v>238</v>
      </c>
      <c r="B9" s="9" t="n">
        <f aca="false">SUM(B2:B7)</f>
        <v>32.28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2"/>
    <col collapsed="false" customWidth="true" hidden="false" outlineLevel="0" max="4" min="4" style="0" width="42"/>
    <col collapsed="false" customWidth="true" hidden="false" outlineLevel="0" max="5" min="5" style="0" width="45"/>
  </cols>
  <sheetData>
    <row r="1" customFormat="false" ht="15" hidden="false" customHeight="false" outlineLevel="0" collapsed="false">
      <c r="A1" s="10" t="s">
        <v>239</v>
      </c>
      <c r="B1" s="10" t="s">
        <v>240</v>
      </c>
      <c r="C1" s="10" t="s">
        <v>241</v>
      </c>
      <c r="D1" s="10" t="s">
        <v>242</v>
      </c>
      <c r="E1" s="10" t="s">
        <v>243</v>
      </c>
    </row>
    <row r="2" customFormat="false" ht="15" hidden="false" customHeight="false" outlineLevel="0" collapsed="false">
      <c r="A2" s="0" t="s">
        <v>244</v>
      </c>
      <c r="B2" s="0" t="s">
        <v>10</v>
      </c>
      <c r="C2" s="0" t="s">
        <v>245</v>
      </c>
      <c r="E2" s="0" t="s">
        <v>246</v>
      </c>
    </row>
    <row r="3" customFormat="false" ht="15" hidden="false" customHeight="false" outlineLevel="0" collapsed="false">
      <c r="A3" s="0" t="s">
        <v>247</v>
      </c>
      <c r="B3" s="0" t="s">
        <v>10</v>
      </c>
      <c r="C3" s="0" t="s">
        <v>248</v>
      </c>
      <c r="E3" s="0" t="s">
        <v>246</v>
      </c>
    </row>
    <row r="4" customFormat="false" ht="15" hidden="false" customHeight="false" outlineLevel="0" collapsed="false">
      <c r="A4" s="0" t="s">
        <v>249</v>
      </c>
      <c r="B4" s="0" t="s">
        <v>10</v>
      </c>
      <c r="C4" s="0" t="s">
        <v>250</v>
      </c>
      <c r="E4" s="0" t="s">
        <v>246</v>
      </c>
    </row>
    <row r="5" customFormat="false" ht="15" hidden="false" customHeight="false" outlineLevel="0" collapsed="false">
      <c r="A5" s="0" t="s">
        <v>251</v>
      </c>
      <c r="B5" s="0" t="s">
        <v>10</v>
      </c>
      <c r="C5" s="0" t="s">
        <v>252</v>
      </c>
      <c r="E5" s="0" t="s">
        <v>246</v>
      </c>
    </row>
    <row r="6" customFormat="false" ht="15" hidden="false" customHeight="false" outlineLevel="0" collapsed="false">
      <c r="A6" s="0" t="s">
        <v>253</v>
      </c>
      <c r="B6" s="0" t="s">
        <v>10</v>
      </c>
      <c r="C6" s="0" t="s">
        <v>252</v>
      </c>
      <c r="E6" s="0" t="s">
        <v>246</v>
      </c>
    </row>
    <row r="7" customFormat="false" ht="15" hidden="false" customHeight="false" outlineLevel="0" collapsed="false">
      <c r="A7" s="0" t="s">
        <v>254</v>
      </c>
      <c r="B7" s="0" t="s">
        <v>10</v>
      </c>
      <c r="C7" s="0" t="s">
        <v>255</v>
      </c>
      <c r="E7" s="0" t="s">
        <v>246</v>
      </c>
    </row>
    <row r="8" customFormat="false" ht="15" hidden="false" customHeight="false" outlineLevel="0" collapsed="false">
      <c r="A8" s="0" t="s">
        <v>256</v>
      </c>
      <c r="B8" s="0" t="s">
        <v>10</v>
      </c>
      <c r="C8" s="0" t="s">
        <v>257</v>
      </c>
      <c r="D8" s="0" t="s">
        <v>258</v>
      </c>
      <c r="E8" s="0" t="s">
        <v>259</v>
      </c>
    </row>
    <row r="9" customFormat="false" ht="15" hidden="false" customHeight="false" outlineLevel="0" collapsed="false">
      <c r="A9" s="0" t="s">
        <v>260</v>
      </c>
      <c r="B9" s="0" t="s">
        <v>10</v>
      </c>
      <c r="C9" s="0" t="s">
        <v>261</v>
      </c>
      <c r="E9" s="0" t="s">
        <v>262</v>
      </c>
    </row>
    <row r="10" customFormat="false" ht="15" hidden="false" customHeight="false" outlineLevel="0" collapsed="false">
      <c r="A10" s="0" t="s">
        <v>263</v>
      </c>
      <c r="B10" s="0" t="s">
        <v>10</v>
      </c>
      <c r="C10" s="0" t="s">
        <v>261</v>
      </c>
      <c r="E10" s="0" t="s">
        <v>262</v>
      </c>
    </row>
    <row r="11" customFormat="false" ht="15" hidden="false" customHeight="false" outlineLevel="0" collapsed="false">
      <c r="A11" s="0" t="s">
        <v>264</v>
      </c>
      <c r="B11" s="0" t="s">
        <v>10</v>
      </c>
      <c r="C11" s="0" t="s">
        <v>265</v>
      </c>
      <c r="E11" s="0" t="s">
        <v>266</v>
      </c>
    </row>
    <row r="12" customFormat="false" ht="15" hidden="false" customHeight="false" outlineLevel="0" collapsed="false">
      <c r="A12" s="0" t="s">
        <v>267</v>
      </c>
      <c r="B12" s="0" t="s">
        <v>10</v>
      </c>
      <c r="C12" s="0" t="s">
        <v>265</v>
      </c>
      <c r="E12" s="0" t="s">
        <v>266</v>
      </c>
    </row>
    <row r="13" customFormat="false" ht="15" hidden="false" customHeight="false" outlineLevel="0" collapsed="false">
      <c r="A13" s="0" t="s">
        <v>268</v>
      </c>
      <c r="B13" s="0" t="s">
        <v>10</v>
      </c>
      <c r="C13" s="0" t="s">
        <v>269</v>
      </c>
      <c r="E13" s="0" t="s">
        <v>270</v>
      </c>
    </row>
    <row r="14" customFormat="false" ht="15" hidden="false" customHeight="false" outlineLevel="0" collapsed="false">
      <c r="A14" s="0" t="s">
        <v>271</v>
      </c>
      <c r="B14" s="0" t="s">
        <v>10</v>
      </c>
      <c r="C14" s="0" t="s">
        <v>272</v>
      </c>
      <c r="E14" s="0" t="s">
        <v>273</v>
      </c>
    </row>
    <row r="15" customFormat="false" ht="15" hidden="false" customHeight="false" outlineLevel="0" collapsed="false">
      <c r="A15" s="0" t="s">
        <v>274</v>
      </c>
      <c r="B15" s="0" t="s">
        <v>10</v>
      </c>
      <c r="C15" s="0" t="s">
        <v>275</v>
      </c>
      <c r="E15" s="0" t="s">
        <v>273</v>
      </c>
    </row>
    <row r="16" customFormat="false" ht="15" hidden="false" customHeight="false" outlineLevel="0" collapsed="false">
      <c r="A16" s="0" t="s">
        <v>276</v>
      </c>
      <c r="B16" s="0" t="s">
        <v>10</v>
      </c>
      <c r="C16" s="0" t="s">
        <v>277</v>
      </c>
      <c r="E16" s="0" t="s">
        <v>278</v>
      </c>
    </row>
    <row r="17" customFormat="false" ht="15" hidden="false" customHeight="false" outlineLevel="0" collapsed="false">
      <c r="A17" s="0" t="s">
        <v>279</v>
      </c>
      <c r="B17" s="0" t="s">
        <v>10</v>
      </c>
      <c r="C17" s="0" t="s">
        <v>280</v>
      </c>
      <c r="E17" s="0" t="s">
        <v>281</v>
      </c>
    </row>
    <row r="18" customFormat="false" ht="15" hidden="false" customHeight="false" outlineLevel="0" collapsed="false">
      <c r="A18" s="0" t="s">
        <v>282</v>
      </c>
      <c r="B18" s="0" t="s">
        <v>10</v>
      </c>
      <c r="C18" s="0" t="s">
        <v>283</v>
      </c>
      <c r="E18" s="0" t="s">
        <v>281</v>
      </c>
    </row>
    <row r="19" customFormat="false" ht="15" hidden="false" customHeight="false" outlineLevel="0" collapsed="false">
      <c r="A19" s="0" t="s">
        <v>284</v>
      </c>
      <c r="B19" s="0" t="s">
        <v>10</v>
      </c>
      <c r="C19" s="0" t="s">
        <v>285</v>
      </c>
      <c r="E19" s="0" t="s">
        <v>281</v>
      </c>
    </row>
    <row r="20" customFormat="false" ht="15" hidden="false" customHeight="false" outlineLevel="0" collapsed="false">
      <c r="A20" s="0" t="s">
        <v>286</v>
      </c>
      <c r="B20" s="0" t="s">
        <v>10</v>
      </c>
      <c r="C20" s="0" t="s">
        <v>287</v>
      </c>
      <c r="E20" s="0" t="s">
        <v>281</v>
      </c>
    </row>
    <row r="21" customFormat="false" ht="15" hidden="false" customHeight="false" outlineLevel="0" collapsed="false">
      <c r="A21" s="0" t="s">
        <v>288</v>
      </c>
      <c r="B21" s="0" t="s">
        <v>10</v>
      </c>
      <c r="C21" s="0" t="s">
        <v>287</v>
      </c>
      <c r="E21" s="0" t="s">
        <v>281</v>
      </c>
    </row>
    <row r="22" customFormat="false" ht="15" hidden="false" customHeight="false" outlineLevel="0" collapsed="false">
      <c r="A22" s="0" t="s">
        <v>289</v>
      </c>
      <c r="B22" s="0" t="s">
        <v>10</v>
      </c>
      <c r="C22" s="0" t="s">
        <v>290</v>
      </c>
      <c r="E22" s="0" t="s">
        <v>281</v>
      </c>
    </row>
    <row r="23" customFormat="false" ht="15" hidden="false" customHeight="false" outlineLevel="0" collapsed="false">
      <c r="A23" s="0" t="s">
        <v>291</v>
      </c>
      <c r="B23" s="0" t="s">
        <v>10</v>
      </c>
      <c r="C23" s="0" t="s">
        <v>292</v>
      </c>
      <c r="E23" s="0" t="s">
        <v>281</v>
      </c>
    </row>
    <row r="24" customFormat="false" ht="15" hidden="false" customHeight="false" outlineLevel="0" collapsed="false">
      <c r="A24" s="0" t="s">
        <v>293</v>
      </c>
      <c r="B24" s="0" t="s">
        <v>10</v>
      </c>
      <c r="C24" s="0" t="s">
        <v>294</v>
      </c>
      <c r="E24" s="0" t="s">
        <v>281</v>
      </c>
    </row>
    <row r="25" customFormat="false" ht="15" hidden="false" customHeight="false" outlineLevel="0" collapsed="false">
      <c r="A25" s="0" t="s">
        <v>295</v>
      </c>
      <c r="B25" s="0" t="s">
        <v>10</v>
      </c>
      <c r="C25" s="0" t="s">
        <v>296</v>
      </c>
    </row>
    <row r="26" customFormat="false" ht="15" hidden="false" customHeight="false" outlineLevel="0" collapsed="false">
      <c r="A26" s="0" t="s">
        <v>297</v>
      </c>
      <c r="B26" s="0" t="s">
        <v>10</v>
      </c>
      <c r="C26" s="0" t="s">
        <v>296</v>
      </c>
    </row>
    <row r="27" customFormat="false" ht="15" hidden="false" customHeight="false" outlineLevel="0" collapsed="false">
      <c r="A27" s="0" t="s">
        <v>298</v>
      </c>
      <c r="B27" s="0" t="s">
        <v>126</v>
      </c>
      <c r="C27" s="0" t="s">
        <v>299</v>
      </c>
      <c r="E27" s="0" t="s">
        <v>246</v>
      </c>
    </row>
    <row r="28" customFormat="false" ht="15" hidden="false" customHeight="false" outlineLevel="0" collapsed="false">
      <c r="A28" s="0" t="s">
        <v>300</v>
      </c>
      <c r="B28" s="0" t="s">
        <v>126</v>
      </c>
      <c r="C28" s="0" t="s">
        <v>299</v>
      </c>
      <c r="E28" s="0" t="s">
        <v>246</v>
      </c>
    </row>
    <row r="29" customFormat="false" ht="15" hidden="false" customHeight="false" outlineLevel="0" collapsed="false">
      <c r="A29" s="0" t="s">
        <v>301</v>
      </c>
      <c r="B29" s="0" t="s">
        <v>126</v>
      </c>
      <c r="C29" s="0" t="s">
        <v>299</v>
      </c>
      <c r="E29" s="0" t="s">
        <v>246</v>
      </c>
    </row>
    <row r="30" customFormat="false" ht="15" hidden="false" customHeight="false" outlineLevel="0" collapsed="false">
      <c r="A30" s="0" t="s">
        <v>302</v>
      </c>
      <c r="B30" s="0" t="s">
        <v>126</v>
      </c>
      <c r="C30" s="0" t="s">
        <v>303</v>
      </c>
      <c r="E30" s="0" t="s">
        <v>246</v>
      </c>
    </row>
    <row r="31" customFormat="false" ht="15" hidden="false" customHeight="false" outlineLevel="0" collapsed="false">
      <c r="A31" s="0" t="s">
        <v>304</v>
      </c>
      <c r="B31" s="0" t="s">
        <v>126</v>
      </c>
      <c r="C31" s="0" t="s">
        <v>299</v>
      </c>
      <c r="E31" s="0" t="s">
        <v>246</v>
      </c>
    </row>
    <row r="32" customFormat="false" ht="15" hidden="false" customHeight="false" outlineLevel="0" collapsed="false">
      <c r="A32" s="0" t="s">
        <v>305</v>
      </c>
      <c r="B32" s="0" t="s">
        <v>126</v>
      </c>
      <c r="C32" s="0" t="s">
        <v>303</v>
      </c>
      <c r="E32" s="0" t="s">
        <v>246</v>
      </c>
    </row>
    <row r="33" customFormat="false" ht="15" hidden="false" customHeight="false" outlineLevel="0" collapsed="false">
      <c r="A33" s="0" t="s">
        <v>306</v>
      </c>
      <c r="B33" s="0" t="s">
        <v>126</v>
      </c>
      <c r="C33" s="0" t="s">
        <v>138</v>
      </c>
      <c r="D33" s="0" t="s">
        <v>307</v>
      </c>
      <c r="E33" s="0" t="s">
        <v>308</v>
      </c>
    </row>
    <row r="34" customFormat="false" ht="15" hidden="false" customHeight="false" outlineLevel="0" collapsed="false">
      <c r="A34" s="0" t="s">
        <v>309</v>
      </c>
      <c r="B34" s="0" t="s">
        <v>126</v>
      </c>
      <c r="C34" s="0" t="s">
        <v>310</v>
      </c>
      <c r="D34" s="0" t="s">
        <v>311</v>
      </c>
      <c r="E34" s="0" t="s">
        <v>312</v>
      </c>
    </row>
    <row r="35" customFormat="false" ht="15" hidden="false" customHeight="false" outlineLevel="0" collapsed="false">
      <c r="A35" s="0" t="s">
        <v>313</v>
      </c>
      <c r="B35" s="0" t="s">
        <v>126</v>
      </c>
      <c r="C35" s="0" t="s">
        <v>314</v>
      </c>
      <c r="E35" s="0" t="s">
        <v>281</v>
      </c>
    </row>
    <row r="36" customFormat="false" ht="15" hidden="false" customHeight="false" outlineLevel="0" collapsed="false">
      <c r="A36" s="0" t="s">
        <v>315</v>
      </c>
      <c r="B36" s="0" t="s">
        <v>126</v>
      </c>
      <c r="C36" s="0" t="s">
        <v>316</v>
      </c>
      <c r="E36" s="0" t="s">
        <v>281</v>
      </c>
    </row>
    <row r="37" customFormat="false" ht="15" hidden="false" customHeight="false" outlineLevel="0" collapsed="false">
      <c r="A37" s="0" t="s">
        <v>317</v>
      </c>
      <c r="B37" s="0" t="s">
        <v>126</v>
      </c>
      <c r="C37" s="0" t="s">
        <v>318</v>
      </c>
      <c r="E37" s="0" t="s">
        <v>281</v>
      </c>
    </row>
    <row r="38" customFormat="false" ht="15" hidden="false" customHeight="false" outlineLevel="0" collapsed="false">
      <c r="A38" s="0" t="s">
        <v>319</v>
      </c>
      <c r="B38" s="0" t="s">
        <v>126</v>
      </c>
      <c r="C38" s="0" t="s">
        <v>318</v>
      </c>
      <c r="E38" s="0" t="s">
        <v>281</v>
      </c>
    </row>
    <row r="39" customFormat="false" ht="15" hidden="false" customHeight="false" outlineLevel="0" collapsed="false">
      <c r="A39" s="0" t="s">
        <v>320</v>
      </c>
      <c r="B39" s="0" t="s">
        <v>126</v>
      </c>
      <c r="C39" s="0" t="s">
        <v>321</v>
      </c>
      <c r="E39" s="0" t="s">
        <v>281</v>
      </c>
    </row>
    <row r="40" customFormat="false" ht="15" hidden="false" customHeight="false" outlineLevel="0" collapsed="false">
      <c r="A40" s="0" t="s">
        <v>322</v>
      </c>
      <c r="B40" s="0" t="s">
        <v>126</v>
      </c>
      <c r="C40" s="0" t="s">
        <v>321</v>
      </c>
      <c r="E40" s="0" t="s">
        <v>281</v>
      </c>
    </row>
    <row r="41" customFormat="false" ht="15" hidden="false" customHeight="false" outlineLevel="0" collapsed="false">
      <c r="A41" s="0" t="s">
        <v>323</v>
      </c>
      <c r="B41" s="0" t="s">
        <v>126</v>
      </c>
      <c r="C41" s="0" t="s">
        <v>324</v>
      </c>
      <c r="E41" s="0" t="s">
        <v>325</v>
      </c>
    </row>
    <row r="42" customFormat="false" ht="15" hidden="false" customHeight="false" outlineLevel="0" collapsed="false">
      <c r="A42" s="0" t="s">
        <v>326</v>
      </c>
      <c r="B42" s="0" t="s">
        <v>126</v>
      </c>
      <c r="C42" s="0" t="s">
        <v>128</v>
      </c>
      <c r="D42" s="0" t="s">
        <v>327</v>
      </c>
      <c r="E42" s="0" t="s">
        <v>328</v>
      </c>
    </row>
    <row r="43" customFormat="false" ht="15" hidden="false" customHeight="false" outlineLevel="0" collapsed="false">
      <c r="A43" s="0" t="s">
        <v>329</v>
      </c>
      <c r="B43" s="0" t="s">
        <v>330</v>
      </c>
      <c r="C43" s="0" t="s">
        <v>117</v>
      </c>
      <c r="E43" s="0" t="s">
        <v>331</v>
      </c>
    </row>
    <row r="44" customFormat="false" ht="15" hidden="false" customHeight="false" outlineLevel="0" collapsed="false">
      <c r="A44" s="0" t="s">
        <v>332</v>
      </c>
      <c r="B44" s="0" t="s">
        <v>330</v>
      </c>
      <c r="C44" s="0" t="s">
        <v>299</v>
      </c>
      <c r="E44" s="0" t="s">
        <v>246</v>
      </c>
    </row>
    <row r="45" customFormat="false" ht="15" hidden="false" customHeight="false" outlineLevel="0" collapsed="false">
      <c r="A45" s="0" t="s">
        <v>333</v>
      </c>
      <c r="B45" s="0" t="s">
        <v>330</v>
      </c>
      <c r="C45" s="0" t="s">
        <v>248</v>
      </c>
      <c r="E45" s="0" t="s">
        <v>246</v>
      </c>
    </row>
    <row r="46" customFormat="false" ht="15" hidden="false" customHeight="false" outlineLevel="0" collapsed="false">
      <c r="A46" s="0" t="s">
        <v>334</v>
      </c>
      <c r="B46" s="0" t="s">
        <v>330</v>
      </c>
      <c r="C46" s="0" t="s">
        <v>303</v>
      </c>
      <c r="E46" s="0" t="s">
        <v>246</v>
      </c>
    </row>
    <row r="47" customFormat="false" ht="15" hidden="false" customHeight="false" outlineLevel="0" collapsed="false">
      <c r="A47" s="0" t="s">
        <v>335</v>
      </c>
      <c r="B47" s="0" t="s">
        <v>330</v>
      </c>
      <c r="C47" s="0" t="s">
        <v>299</v>
      </c>
      <c r="E47" s="0" t="s">
        <v>246</v>
      </c>
    </row>
    <row r="48" customFormat="false" ht="15" hidden="false" customHeight="false" outlineLevel="0" collapsed="false">
      <c r="A48" s="0" t="s">
        <v>336</v>
      </c>
      <c r="B48" s="0" t="s">
        <v>330</v>
      </c>
      <c r="C48" s="0" t="s">
        <v>299</v>
      </c>
      <c r="E48" s="0" t="s">
        <v>246</v>
      </c>
    </row>
    <row r="49" customFormat="false" ht="15" hidden="false" customHeight="false" outlineLevel="0" collapsed="false">
      <c r="A49" s="0" t="s">
        <v>337</v>
      </c>
      <c r="B49" s="0" t="s">
        <v>330</v>
      </c>
      <c r="C49" s="0" t="s">
        <v>299</v>
      </c>
      <c r="E49" s="0" t="s">
        <v>246</v>
      </c>
    </row>
    <row r="50" customFormat="false" ht="15" hidden="false" customHeight="false" outlineLevel="0" collapsed="false">
      <c r="A50" s="0" t="s">
        <v>338</v>
      </c>
      <c r="B50" s="0" t="s">
        <v>330</v>
      </c>
      <c r="C50" s="0" t="s">
        <v>299</v>
      </c>
      <c r="E50" s="0" t="s">
        <v>246</v>
      </c>
    </row>
    <row r="51" customFormat="false" ht="15" hidden="false" customHeight="false" outlineLevel="0" collapsed="false">
      <c r="A51" s="0" t="s">
        <v>339</v>
      </c>
      <c r="B51" s="0" t="s">
        <v>330</v>
      </c>
      <c r="C51" s="0" t="s">
        <v>257</v>
      </c>
      <c r="D51" s="0" t="s">
        <v>258</v>
      </c>
      <c r="E51" s="0" t="s">
        <v>259</v>
      </c>
    </row>
    <row r="52" customFormat="false" ht="15" hidden="false" customHeight="false" outlineLevel="0" collapsed="false">
      <c r="A52" s="0" t="s">
        <v>340</v>
      </c>
      <c r="B52" s="0" t="s">
        <v>330</v>
      </c>
      <c r="C52" s="0" t="s">
        <v>341</v>
      </c>
      <c r="E52" s="0" t="s">
        <v>342</v>
      </c>
    </row>
    <row r="53" customFormat="false" ht="15" hidden="false" customHeight="false" outlineLevel="0" collapsed="false">
      <c r="A53" s="0" t="s">
        <v>343</v>
      </c>
      <c r="B53" s="0" t="s">
        <v>330</v>
      </c>
      <c r="C53" s="0" t="s">
        <v>344</v>
      </c>
      <c r="E53" s="0" t="s">
        <v>345</v>
      </c>
    </row>
    <row r="54" customFormat="false" ht="15" hidden="false" customHeight="false" outlineLevel="0" collapsed="false">
      <c r="A54" s="0" t="s">
        <v>346</v>
      </c>
      <c r="B54" s="0" t="s">
        <v>330</v>
      </c>
      <c r="C54" s="0" t="s">
        <v>110</v>
      </c>
      <c r="E54" s="0" t="s">
        <v>347</v>
      </c>
    </row>
    <row r="55" customFormat="false" ht="15" hidden="false" customHeight="false" outlineLevel="0" collapsed="false">
      <c r="A55" s="0" t="s">
        <v>348</v>
      </c>
      <c r="B55" s="0" t="s">
        <v>330</v>
      </c>
      <c r="C55" s="0" t="s">
        <v>117</v>
      </c>
      <c r="E55" s="0" t="s">
        <v>331</v>
      </c>
    </row>
    <row r="56" customFormat="false" ht="15" hidden="false" customHeight="false" outlineLevel="0" collapsed="false">
      <c r="A56" s="0" t="s">
        <v>349</v>
      </c>
      <c r="B56" s="0" t="s">
        <v>330</v>
      </c>
      <c r="C56" s="0" t="s">
        <v>287</v>
      </c>
      <c r="E56" s="0" t="s">
        <v>281</v>
      </c>
    </row>
    <row r="57" customFormat="false" ht="15" hidden="false" customHeight="false" outlineLevel="0" collapsed="false">
      <c r="A57" s="0" t="s">
        <v>350</v>
      </c>
      <c r="B57" s="0" t="s">
        <v>330</v>
      </c>
      <c r="C57" s="0" t="s">
        <v>351</v>
      </c>
      <c r="E57" s="0" t="s">
        <v>281</v>
      </c>
    </row>
    <row r="58" customFormat="false" ht="15" hidden="false" customHeight="false" outlineLevel="0" collapsed="false">
      <c r="A58" s="0" t="s">
        <v>352</v>
      </c>
      <c r="B58" s="0" t="s">
        <v>330</v>
      </c>
      <c r="C58" s="0" t="s">
        <v>351</v>
      </c>
      <c r="E58" s="0" t="s">
        <v>281</v>
      </c>
    </row>
    <row r="59" customFormat="false" ht="15" hidden="false" customHeight="false" outlineLevel="0" collapsed="false">
      <c r="A59" s="0" t="s">
        <v>353</v>
      </c>
      <c r="B59" s="0" t="s">
        <v>330</v>
      </c>
      <c r="C59" s="0" t="s">
        <v>321</v>
      </c>
      <c r="E59" s="0" t="s">
        <v>281</v>
      </c>
    </row>
    <row r="60" customFormat="false" ht="15" hidden="false" customHeight="false" outlineLevel="0" collapsed="false">
      <c r="A60" s="0" t="s">
        <v>354</v>
      </c>
      <c r="B60" s="0" t="s">
        <v>330</v>
      </c>
      <c r="C60" s="0" t="s">
        <v>355</v>
      </c>
      <c r="E60" s="0" t="s">
        <v>281</v>
      </c>
    </row>
    <row r="61" customFormat="false" ht="15" hidden="false" customHeight="false" outlineLevel="0" collapsed="false">
      <c r="A61" s="0" t="s">
        <v>356</v>
      </c>
      <c r="B61" s="0" t="s">
        <v>330</v>
      </c>
      <c r="C61" s="0" t="s">
        <v>355</v>
      </c>
      <c r="E61" s="0" t="s">
        <v>281</v>
      </c>
    </row>
    <row r="62" customFormat="false" ht="15" hidden="false" customHeight="false" outlineLevel="0" collapsed="false">
      <c r="A62" s="0" t="s">
        <v>357</v>
      </c>
      <c r="B62" s="0" t="s">
        <v>330</v>
      </c>
      <c r="C62" s="0" t="s">
        <v>358</v>
      </c>
      <c r="E62" s="0" t="s">
        <v>281</v>
      </c>
    </row>
    <row r="63" customFormat="false" ht="15" hidden="false" customHeight="false" outlineLevel="0" collapsed="false">
      <c r="A63" s="0" t="s">
        <v>359</v>
      </c>
      <c r="B63" s="0" t="s">
        <v>330</v>
      </c>
      <c r="C63" s="0" t="s">
        <v>360</v>
      </c>
      <c r="E63" s="0" t="s">
        <v>281</v>
      </c>
    </row>
    <row r="64" customFormat="false" ht="15" hidden="false" customHeight="false" outlineLevel="0" collapsed="false">
      <c r="A64" s="0" t="s">
        <v>361</v>
      </c>
      <c r="B64" s="0" t="s">
        <v>330</v>
      </c>
      <c r="C64" s="0" t="s">
        <v>362</v>
      </c>
      <c r="E64" s="0" t="s">
        <v>325</v>
      </c>
    </row>
    <row r="65" customFormat="false" ht="15" hidden="false" customHeight="false" outlineLevel="0" collapsed="false">
      <c r="A65" s="0" t="s">
        <v>363</v>
      </c>
      <c r="B65" s="0" t="s">
        <v>330</v>
      </c>
      <c r="C65" s="0" t="s">
        <v>362</v>
      </c>
      <c r="E65" s="0" t="s">
        <v>325</v>
      </c>
    </row>
    <row r="66" customFormat="false" ht="15" hidden="false" customHeight="false" outlineLevel="0" collapsed="false">
      <c r="A66" s="0" t="s">
        <v>364</v>
      </c>
      <c r="B66" s="0" t="s">
        <v>330</v>
      </c>
      <c r="C66" s="0" t="s">
        <v>90</v>
      </c>
      <c r="D66" s="0" t="s">
        <v>365</v>
      </c>
    </row>
    <row r="67" customFormat="false" ht="15" hidden="false" customHeight="false" outlineLevel="0" collapsed="false">
      <c r="A67" s="0" t="s">
        <v>366</v>
      </c>
      <c r="B67" s="0" t="s">
        <v>330</v>
      </c>
      <c r="C67" s="0" t="s">
        <v>78</v>
      </c>
      <c r="D67" s="0" t="s">
        <v>367</v>
      </c>
      <c r="E67" s="0" t="s">
        <v>368</v>
      </c>
    </row>
    <row r="68" customFormat="false" ht="15" hidden="false" customHeight="false" outlineLevel="0" collapsed="false">
      <c r="A68" s="0" t="s">
        <v>369</v>
      </c>
      <c r="B68" s="0" t="s">
        <v>330</v>
      </c>
      <c r="C68" s="0" t="s">
        <v>68</v>
      </c>
      <c r="D68" s="0" t="s">
        <v>370</v>
      </c>
      <c r="E68" s="0" t="s">
        <v>371</v>
      </c>
    </row>
    <row r="69" customFormat="false" ht="15" hidden="false" customHeight="false" outlineLevel="0" collapsed="false">
      <c r="A69" s="0" t="s">
        <v>372</v>
      </c>
      <c r="B69" s="0" t="s">
        <v>330</v>
      </c>
      <c r="C69" s="0" t="s">
        <v>113</v>
      </c>
      <c r="D69" s="0" t="s">
        <v>373</v>
      </c>
      <c r="E69" s="0" t="s">
        <v>374</v>
      </c>
    </row>
    <row r="70" customFormat="false" ht="15" hidden="false" customHeight="false" outlineLevel="0" collapsed="false">
      <c r="A70" s="0" t="s">
        <v>375</v>
      </c>
      <c r="B70" s="0" t="s">
        <v>330</v>
      </c>
      <c r="C70" s="0" t="s">
        <v>113</v>
      </c>
      <c r="D70" s="0" t="s">
        <v>373</v>
      </c>
      <c r="E70" s="0" t="s">
        <v>374</v>
      </c>
    </row>
    <row r="71" customFormat="false" ht="15" hidden="false" customHeight="false" outlineLevel="0" collapsed="false">
      <c r="A71" s="0" t="s">
        <v>376</v>
      </c>
      <c r="B71" s="0" t="s">
        <v>170</v>
      </c>
      <c r="C71" s="0" t="s">
        <v>172</v>
      </c>
      <c r="D71" s="0" t="s">
        <v>377</v>
      </c>
      <c r="E71" s="0" t="s">
        <v>378</v>
      </c>
    </row>
    <row r="72" customFormat="false" ht="15" hidden="false" customHeight="false" outlineLevel="0" collapsed="false">
      <c r="A72" s="0" t="s">
        <v>379</v>
      </c>
      <c r="B72" s="0" t="s">
        <v>170</v>
      </c>
      <c r="C72" s="0" t="s">
        <v>380</v>
      </c>
      <c r="E72" s="0" t="s">
        <v>381</v>
      </c>
    </row>
    <row r="73" customFormat="false" ht="15" hidden="false" customHeight="false" outlineLevel="0" collapsed="false">
      <c r="A73" s="0" t="s">
        <v>382</v>
      </c>
      <c r="B73" s="0" t="s">
        <v>170</v>
      </c>
      <c r="C73" s="0" t="s">
        <v>383</v>
      </c>
      <c r="E73" s="0" t="s">
        <v>381</v>
      </c>
    </row>
    <row r="74" customFormat="false" ht="15" hidden="false" customHeight="false" outlineLevel="0" collapsed="false">
      <c r="A74" s="0" t="s">
        <v>384</v>
      </c>
      <c r="B74" s="0" t="s">
        <v>170</v>
      </c>
      <c r="C74" s="0" t="s">
        <v>385</v>
      </c>
      <c r="E74" s="0" t="s">
        <v>386</v>
      </c>
    </row>
    <row r="75" customFormat="false" ht="15" hidden="false" customHeight="false" outlineLevel="0" collapsed="false">
      <c r="A75" s="0" t="s">
        <v>387</v>
      </c>
      <c r="B75" s="0" t="s">
        <v>170</v>
      </c>
      <c r="C75" s="0" t="s">
        <v>388</v>
      </c>
      <c r="E75" s="0" t="s">
        <v>281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2026-05-28T08:08:55Z</dcterms:modified>
  <cp:revision>2</cp:revision>
  <dc:subject/>
  <dc:title/>
</cp:coreProperties>
</file>